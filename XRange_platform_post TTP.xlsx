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young\OneDrive - 대구대학교\바탕 화면\수정후\"/>
    </mc:Choice>
  </mc:AlternateContent>
  <xr:revisionPtr revIDLastSave="0" documentId="13_ncr:1_{2F857DBC-E718-4CCB-87AE-0EFEE9B713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Tactic" sheetId="3" r:id="rId1"/>
    <sheet name="02_Technique" sheetId="4" r:id="rId2"/>
    <sheet name="03_Procedure" sheetId="5" r:id="rId3"/>
    <sheet name="04_TA_TE_매핑" sheetId="6" r:id="rId4"/>
    <sheet name="05_TE_PR_매핑" sheetId="7" r:id="rId5"/>
    <sheet name="06_콘텐츠의도" sheetId="9" r:id="rId6"/>
    <sheet name="07_보조정책" sheetId="10" r:id="rId7"/>
    <sheet name="08_코드Enum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7" l="1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F16" i="3"/>
  <c r="F15" i="3"/>
  <c r="F14" i="3"/>
  <c r="F13" i="3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<sst xmlns="http://schemas.openxmlformats.org/spreadsheetml/2006/main" count="1912" uniqueCount="916">
  <si>
    <t>XR-P-TA0001</t>
  </si>
  <si>
    <t>XR-P-TE0001</t>
  </si>
  <si>
    <t>XR-P-PR0001</t>
  </si>
  <si>
    <t>XR-P-MT0001</t>
  </si>
  <si>
    <t>XR-P-MP0001</t>
  </si>
  <si>
    <t>XR-P-CI0001</t>
  </si>
  <si>
    <t>XR-P-SP0001</t>
  </si>
  <si>
    <t>XR-U-AP0001</t>
  </si>
  <si>
    <t>플랫폼 공통 Tactic</t>
  </si>
  <si>
    <t>tactic_id</t>
  </si>
  <si>
    <t>code</t>
  </si>
  <si>
    <t>명칭</t>
  </si>
  <si>
    <t>정의</t>
  </si>
  <si>
    <t>적용범위</t>
  </si>
  <si>
    <t>Technique매핑수</t>
  </si>
  <si>
    <t>self_expression_status_sharing</t>
  </si>
  <si>
    <t>자기표현·상태공유</t>
  </si>
  <si>
    <t>자신의 생각, 취향, 현재 상태 또는 정체성을 플랫폼에 표현하고 기록한다.</t>
  </si>
  <si>
    <t>정상·범죄 공통</t>
  </si>
  <si>
    <t>XR-P-TA0002</t>
  </si>
  <si>
    <t>emotion_sharing_empathy</t>
  </si>
  <si>
    <t>정서공유·공감유도</t>
  </si>
  <si>
    <t>감정과 정서를 공유하여 타인의 공감, 위로 또는 정서적 반응을 유도한다.</t>
  </si>
  <si>
    <t>XR-P-TA0003</t>
  </si>
  <si>
    <t>information_experience_delivery</t>
  </si>
  <si>
    <t>정보·경험전달</t>
  </si>
  <si>
    <t>사실, 분석, 지식 또는 직·간접 경험을 다른 사용자에게 전달한다.</t>
  </si>
  <si>
    <t>XR-P-TA0004</t>
  </si>
  <si>
    <t>conversation_discussion_participation</t>
  </si>
  <si>
    <t>대화·토론참여</t>
  </si>
  <si>
    <t>기존 포스트나 사용자에게 반응하여 대화 또는 토론 흐름에 참여한다.</t>
  </si>
  <si>
    <t>XR-P-TA0005</t>
  </si>
  <si>
    <t>opinion_position_expression</t>
  </si>
  <si>
    <t>의견·입장표명</t>
  </si>
  <si>
    <t>사건, 대상 또는 주장에 대한 판단과 태도를 공개적으로 표명한다.</t>
  </si>
  <si>
    <t>XR-P-TA0006</t>
  </si>
  <si>
    <t>content_diffusion_redistribution</t>
  </si>
  <si>
    <t>콘텐츠확산·재유통</t>
  </si>
  <si>
    <t>기존 콘텐츠를 재게시, 인용 또는 재맥락화하여 추가 이용자에게 확산한다.</t>
  </si>
  <si>
    <t>XR-P-TA0007</t>
  </si>
  <si>
    <t>visibility_reach_expansion</t>
  </si>
  <si>
    <t>가시성·도달확대</t>
  </si>
  <si>
    <t>특정 이용자 또는 관심 집단에 포스트가 도달할 가능성을 높인다.</t>
  </si>
  <si>
    <t>XR-P-TA0008</t>
  </si>
  <si>
    <t>relationship_community_formation</t>
  </si>
  <si>
    <t>관계·공동체형성</t>
  </si>
  <si>
    <t>새로운 사용자 또는 집단과 친밀감, 소속감, 연결 관계를 형성한다.</t>
  </si>
  <si>
    <t>XR-P-TA0009</t>
  </si>
  <si>
    <t>relationship_community_maintenance</t>
  </si>
  <si>
    <t>관계·공동체유지</t>
  </si>
  <si>
    <t>기존 관계와 공동체 안에서 상호작용을 반복하여 연결을 유지한다.</t>
  </si>
  <si>
    <t>XR-P-TA0010</t>
  </si>
  <si>
    <t>engagement_action_induction</t>
  </si>
  <si>
    <t>참여·반응유도</t>
  </si>
  <si>
    <t>타인이 답글, 재게시, 문의, 참여 등 특정 반응이나 행동을 하도록 유도한다.</t>
  </si>
  <si>
    <t>XR-P-TA0011</t>
  </si>
  <si>
    <t>external_channel_connection</t>
  </si>
  <si>
    <t>외부채널연결</t>
  </si>
  <si>
    <t>플랫폼 밖의 웹페이지, 서비스, 채널 또는 연락 수단으로 이용자를 연결한다.</t>
  </si>
  <si>
    <t>XR-P-TA0012</t>
  </si>
  <si>
    <t>platform_monetization</t>
  </si>
  <si>
    <t>플랫폼수익화</t>
  </si>
  <si>
    <t>플랫폼 활동을 상품·서비스 홍보, 후원, 구독 등 경제적 가치 획득으로 연결한다. 위법성은 범죄자 확장 TTP에서 별도로 판단한다.</t>
  </si>
  <si>
    <t>플랫폼 공통 Technique</t>
  </si>
  <si>
    <t>technique_id</t>
  </si>
  <si>
    <t>방법분류</t>
  </si>
  <si>
    <t>주요 파라미터</t>
  </si>
  <si>
    <t>Tactic매핑수</t>
  </si>
  <si>
    <t>Procedure매핑수</t>
  </si>
  <si>
    <t>text_only_post</t>
  </si>
  <si>
    <t>텍스트 중심 게시</t>
  </si>
  <si>
    <t>텍스트를 핵심 표현 수단으로 사용하여 포스트를 구성한다.</t>
  </si>
  <si>
    <t>형식</t>
  </si>
  <si>
    <t>text_length, language</t>
  </si>
  <si>
    <t>XR-P-TE0002</t>
  </si>
  <si>
    <t>media_attached_post</t>
  </si>
  <si>
    <t>미디어 결합 게시</t>
  </si>
  <si>
    <t>본문 텍스트에 이미지 또는 영상을 첨부하여 포스트를 구성한다.</t>
  </si>
  <si>
    <t>media_type, media_count</t>
  </si>
  <si>
    <t>XR-P-TE0003</t>
  </si>
  <si>
    <t>media_emphasis_post</t>
  </si>
  <si>
    <t>미디어 강조 게시</t>
  </si>
  <si>
    <t>텍스트를 최소화하고 이미지 또는 영상을 포스트의 중심 요소로 제시한다.</t>
  </si>
  <si>
    <t>media_type, text_ratio</t>
  </si>
  <si>
    <t>XR-P-TE0004</t>
  </si>
  <si>
    <t>external_link_attachment</t>
  </si>
  <si>
    <t>외부링크 첨부 게시</t>
  </si>
  <si>
    <t>기사, 영상, 웹페이지 등 외부 URL을 포스트에 첨부한다.</t>
  </si>
  <si>
    <t>url, preview_enabled</t>
  </si>
  <si>
    <t>외부 링크 첨부</t>
  </si>
  <si>
    <t>XR-P-TE0005</t>
  </si>
  <si>
    <t>thread_composition</t>
  </si>
  <si>
    <t>스레드 구성</t>
  </si>
  <si>
    <t>연속된 포스트를 상호 연결하여 하나의 순차적 내용으로 구성한다.</t>
  </si>
  <si>
    <t>구조</t>
  </si>
  <si>
    <t>thread_length, interval</t>
  </si>
  <si>
    <t>XR-P-TE0006</t>
  </si>
  <si>
    <t>realtime_status_post</t>
  </si>
  <si>
    <t>실시간 상태 게시</t>
  </si>
  <si>
    <t>특정 사건이 진행되는 시점에 현재 상태나 상황을 게시한다.</t>
  </si>
  <si>
    <t>시간</t>
  </si>
  <si>
    <t>trigger_event, delay</t>
  </si>
  <si>
    <t>XR-P-TE0007</t>
  </si>
  <si>
    <t>realtime_continuous_post</t>
  </si>
  <si>
    <t>실시간 연속 게시</t>
  </si>
  <si>
    <t>사건 변화에 따라 복수의 실시간 포스트를 연속적으로 게시한다.</t>
  </si>
  <si>
    <t>trigger_event, max_events, interval</t>
  </si>
  <si>
    <t>XR-P-TE0008</t>
  </si>
  <si>
    <t>emotional_reaction_post</t>
  </si>
  <si>
    <t>감정 반응 게시</t>
  </si>
  <si>
    <t>감정 표현, 감탄사 또는 반복 표현을 사용하여 반응을 게시한다.</t>
  </si>
  <si>
    <t>표현</t>
  </si>
  <si>
    <t>emotion, intensity</t>
  </si>
  <si>
    <t>XR-P-TE0009</t>
  </si>
  <si>
    <t>short_immediate_reaction</t>
  </si>
  <si>
    <t>단문 즉시 반응</t>
  </si>
  <si>
    <t>짧은 문장이나 이모지 중심으로 즉각적인 반응을 게시한다.</t>
  </si>
  <si>
    <t>max_length, emoji_count</t>
  </si>
  <si>
    <t>XR-P-TE0010</t>
  </si>
  <si>
    <t>meme_contextualization</t>
  </si>
  <si>
    <t>밈 활용 게시</t>
  </si>
  <si>
    <t>밈, 이미지 또는 짧은 영상을 현재 맥락에 맞게 활용한다.</t>
  </si>
  <si>
    <t>meme_asset_id, caption</t>
  </si>
  <si>
    <t>XR-P-TE0011</t>
  </si>
  <si>
    <t>reply_participation</t>
  </si>
  <si>
    <t>답글 참여</t>
  </si>
  <si>
    <t>기존 포스트를 대상으로 답글을 작성하여 대화에 참여한다.</t>
  </si>
  <si>
    <t>상호작용</t>
  </si>
  <si>
    <t>parent_post_id</t>
  </si>
  <si>
    <t>XR-P-TE0012</t>
  </si>
  <si>
    <t>user_mention</t>
  </si>
  <si>
    <t>사용자 언급</t>
  </si>
  <si>
    <t>포스트 본문에 특정 사용자 계정 식별자를 포함한다.</t>
  </si>
  <si>
    <t>mentioned_account_ids</t>
  </si>
  <si>
    <t>XR-P-TE0013</t>
  </si>
  <si>
    <t>question_prompt</t>
  </si>
  <si>
    <t>질문형 참여 유도</t>
  </si>
  <si>
    <t>질문형 문장을 사용하여 답변이나 의견 제출을 유도한다.</t>
  </si>
  <si>
    <t>question_type</t>
  </si>
  <si>
    <t>XR-P-TE0014</t>
  </si>
  <si>
    <t>community_vocabulary</t>
  </si>
  <si>
    <t>공동체 언어 활용</t>
  </si>
  <si>
    <t>특정 공동체의 약어, 은어 또는 관용 표현을 사용하여 소속감을 표현한다.</t>
  </si>
  <si>
    <t>관계</t>
  </si>
  <si>
    <t>community_id, vocabulary_set</t>
  </si>
  <si>
    <t>XR-P-TE0015</t>
  </si>
  <si>
    <t>quote_post</t>
  </si>
  <si>
    <t>인용 게시</t>
  </si>
  <si>
    <t>기존 포스트를 인용하고 새로운 텍스트 또는 미디어를 추가한다.</t>
  </si>
  <si>
    <t>확산</t>
  </si>
  <si>
    <t>source_post_id</t>
  </si>
  <si>
    <t>XR-P-TE0016</t>
  </si>
  <si>
    <t>agreement_support_expression</t>
  </si>
  <si>
    <t>동의·지지 표현</t>
  </si>
  <si>
    <t>사건, 주장 또는 사용자에 대한 긍정적 입장이나 지지를 표현한다.</t>
  </si>
  <si>
    <t>입장</t>
  </si>
  <si>
    <t>stance_strength</t>
  </si>
  <si>
    <t>XR-P-TE0017</t>
  </si>
  <si>
    <t>opposition_criticism_expression</t>
  </si>
  <si>
    <t>반박·비판 표현</t>
  </si>
  <si>
    <t>사건, 주장 또는 사용자에 대한 반대, 반박 또는 비판을 표현한다.</t>
  </si>
  <si>
    <t>XR-P-TE0018</t>
  </si>
  <si>
    <t>supplement_correction</t>
  </si>
  <si>
    <t>추가설명·정정</t>
  </si>
  <si>
    <t>기존 내용에 설명을 보완하거나 오류를 정정한 내용을 추가한다.</t>
  </si>
  <si>
    <t>내용관리</t>
  </si>
  <si>
    <t>source_post_id, correction_type</t>
  </si>
  <si>
    <t>XR-P-TE0019</t>
  </si>
  <si>
    <t>humor_satire_recontextualization</t>
  </si>
  <si>
    <t>유머·풍자 재맥락화</t>
  </si>
  <si>
    <t>기존 콘텐츠에 농담이나 풍자적 맥락을 새롭게 부여한다.</t>
  </si>
  <si>
    <t>source_post_id, humor_style</t>
  </si>
  <si>
    <t>XR-P-TE0020</t>
  </si>
  <si>
    <t>repost</t>
  </si>
  <si>
    <t>재게시</t>
  </si>
  <si>
    <t>기존 포스트를 내용 변경 없이 자신의 계정에서 재유통한다.</t>
  </si>
  <si>
    <t>XR-P-TE0021</t>
  </si>
  <si>
    <t>quote_repost</t>
  </si>
  <si>
    <t>인용 재게시</t>
  </si>
  <si>
    <t>기존 인용 포스트를 다시 재게시하거나 추가 맥락과 함께 인용한다.</t>
  </si>
  <si>
    <t>source_post_id, add_context</t>
  </si>
  <si>
    <t>XR-P-TE0022</t>
  </si>
  <si>
    <t>hashtag_utilization</t>
  </si>
  <si>
    <t>해시태그 활용</t>
  </si>
  <si>
    <t>해시태그를 사용하여 주제 분류, 검색 노출 또는 공동체 참여 가능성을 높인다.</t>
  </si>
  <si>
    <t>가시성</t>
  </si>
  <si>
    <t>hashtags, hashtag_count</t>
  </si>
  <si>
    <t>해시태그 삽입</t>
  </si>
  <si>
    <t>XR-P-TE0023</t>
  </si>
  <si>
    <t>external_link_inducement</t>
  </si>
  <si>
    <t>외부링크 유도</t>
  </si>
  <si>
    <t>외부 링크를 확인해야 하는 이유나 미리보기를 제시하여 링크 이동을 유도한다.</t>
  </si>
  <si>
    <t>외부연결</t>
  </si>
  <si>
    <t>url, call_to_action, preview_asset</t>
  </si>
  <si>
    <t>XR-P-TE0024</t>
  </si>
  <si>
    <t>content_status_update</t>
  </si>
  <si>
    <t>상황·내용 갱신</t>
  </si>
  <si>
    <t>과거 포스트 또는 기존 상황의 변경사항과 최신 상태를 추가로 게시한다.</t>
  </si>
  <si>
    <t>source_post_id, update_type</t>
  </si>
  <si>
    <t>XR-P-TE0025</t>
  </si>
  <si>
    <t>comparative_evaluation</t>
  </si>
  <si>
    <t>비교·평가 게시</t>
  </si>
  <si>
    <t>복수 대상의 특성이나 경험을 비교하고 평가 내용을 제시한다.</t>
  </si>
  <si>
    <t>정보</t>
  </si>
  <si>
    <t>comparison_targets, evaluation_axis</t>
  </si>
  <si>
    <t>XR-P-TE0026</t>
  </si>
  <si>
    <t>event_participation_recruitment</t>
  </si>
  <si>
    <t>행사·참여 모집</t>
  </si>
  <si>
    <t>행사, 일정 또는 공동 활동 정보를 제시하고 참여자를 모집한다.</t>
  </si>
  <si>
    <t>참여유도</t>
  </si>
  <si>
    <t>event_time, location, eligibility</t>
  </si>
  <si>
    <t>XR-P-TE0027</t>
  </si>
  <si>
    <t>repost_request</t>
  </si>
  <si>
    <t>재게시 요청</t>
  </si>
  <si>
    <t>다른 사용자에게 자신의 포스트를 재게시하거나 확산하도록 요청한다.</t>
  </si>
  <si>
    <t>call_to_action</t>
  </si>
  <si>
    <t>XR-P-TE0028</t>
  </si>
  <si>
    <t>product_service_promotion</t>
  </si>
  <si>
    <t>상품·서비스 홍보</t>
  </si>
  <si>
    <t>상품, 서비스, 후원, 구독 또는 합법적 수익화 정보를 포스트로 안내한다.</t>
  </si>
  <si>
    <t>수익화</t>
  </si>
  <si>
    <t>offer_type, price, destination_url</t>
  </si>
  <si>
    <t>XR-P-TE0029</t>
  </si>
  <si>
    <t>delete_modify_republish</t>
  </si>
  <si>
    <t>삭제·수정·재발행</t>
  </si>
  <si>
    <t>기존 포스트를 삭제하고 내용 일부를 수정한 뒤 새로운 포스트로 다시 발행한다.</t>
  </si>
  <si>
    <t>source_post_id, modification_scope</t>
  </si>
  <si>
    <t>플랫폼 공통 원자 Procedure</t>
  </si>
  <si>
    <t>procedure_id</t>
  </si>
  <si>
    <t>실행단계</t>
  </si>
  <si>
    <t>executor</t>
  </si>
  <si>
    <t>parameter_schema</t>
  </si>
  <si>
    <t>선행조건</t>
  </si>
  <si>
    <t>실행효과</t>
  </si>
  <si>
    <t>멱등성</t>
  </si>
  <si>
    <t>event_type</t>
  </si>
  <si>
    <t>create_original_draft</t>
  </si>
  <si>
    <t>원문 포스트 초안 생성</t>
  </si>
  <si>
    <t>새로운 원문 포스트를 작성하기 위한 빈 초안을 생성한다.</t>
  </si>
  <si>
    <t>초안생성</t>
  </si>
  <si>
    <t>PostExecutor.create_original_draft</t>
  </si>
  <si>
    <t>{"account_id":"string","scheduled_at":"datetime|null"}</t>
  </si>
  <si>
    <t>활성 계정 존재</t>
  </si>
  <si>
    <t>original 유형의 draft_post 생성</t>
  </si>
  <si>
    <t>request_id 기준 멱등</t>
  </si>
  <si>
    <t>POST_DRAFT_CREATED</t>
  </si>
  <si>
    <t>XR-P-PR0002</t>
  </si>
  <si>
    <t>create_reply_draft</t>
  </si>
  <si>
    <t>답글 초안 생성</t>
  </si>
  <si>
    <t>기존 포스트를 대상으로 답글 초안을 생성한다.</t>
  </si>
  <si>
    <t>PostExecutor.create_reply_draft</t>
  </si>
  <si>
    <t>{"account_id":"string","parent_post_id":"string"}</t>
  </si>
  <si>
    <t>대상 포스트 존재</t>
  </si>
  <si>
    <t>reply 유형의 draft_post 생성</t>
  </si>
  <si>
    <t>REPLY_DRAFT_CREATED</t>
  </si>
  <si>
    <t>XR-P-PR0003</t>
  </si>
  <si>
    <t>create_quote_draft</t>
  </si>
  <si>
    <t>인용 포스트 초안 생성</t>
  </si>
  <si>
    <t>기존 포스트를 인용하는 포스트 초안을 생성한다.</t>
  </si>
  <si>
    <t>PostExecutor.create_quote_draft</t>
  </si>
  <si>
    <t>{"account_id":"string","source_post_id":"string"}</t>
  </si>
  <si>
    <t>원본 포스트 존재</t>
  </si>
  <si>
    <t>quote 유형의 draft_post 생성</t>
  </si>
  <si>
    <t>QUOTE_DRAFT_CREATED</t>
  </si>
  <si>
    <t>XR-P-PR0004</t>
  </si>
  <si>
    <t>execute_repost</t>
  </si>
  <si>
    <t>재게시 실행</t>
  </si>
  <si>
    <t>기존 포스트를 수정하지 않고 계정의 재게시로 등록한다.</t>
  </si>
  <si>
    <t>즉시실행</t>
  </si>
  <si>
    <t>PostExecutor.execute_repost</t>
  </si>
  <si>
    <t>원본 포스트 존재; 중복 정책 충족</t>
  </si>
  <si>
    <t>repost 포스트 생성</t>
  </si>
  <si>
    <t>account_id+source_post_id 기준 멱등</t>
  </si>
  <si>
    <t>POST_REPOSTED</t>
  </si>
  <si>
    <t>XR-P-PR0005</t>
  </si>
  <si>
    <t>append_thread_draft</t>
  </si>
  <si>
    <t>스레드 초안 추가</t>
  </si>
  <si>
    <t>스레드의 마지막 포스트에 연결되는 후속 초안을 생성한다.</t>
  </si>
  <si>
    <t>PostExecutor.append_thread_draft</t>
  </si>
  <si>
    <t>{"account_id":"string","thread_parent_id":"string","sequence_no":"integer"}</t>
  </si>
  <si>
    <t>스레드 부모 포스트 존재</t>
  </si>
  <si>
    <t>thread reply draft 생성</t>
  </si>
  <si>
    <t>sequence_no 기준 멱등</t>
  </si>
  <si>
    <t>THREAD_DRAFT_APPENDED</t>
  </si>
  <si>
    <t>XR-P-PR0006</t>
  </si>
  <si>
    <t>set_body_text</t>
  </si>
  <si>
    <t>본문 텍스트 설정</t>
  </si>
  <si>
    <t>포스트 초안의 본문 텍스트를 설정하거나 교체한다.</t>
  </si>
  <si>
    <t>초안편집</t>
  </si>
  <si>
    <t>PostExecutor.set_body_text</t>
  </si>
  <si>
    <t>{"draft_id":"string","text":"string","language":"string"}</t>
  </si>
  <si>
    <t>초안 존재; 글자 수 제한 충족</t>
  </si>
  <si>
    <t>draft body_text 갱신</t>
  </si>
  <si>
    <t>동일 입력 멱등</t>
  </si>
  <si>
    <t>POST_TEXT_SET</t>
  </si>
  <si>
    <t>XR-P-PR0007</t>
  </si>
  <si>
    <t>attach_image</t>
  </si>
  <si>
    <t>이미지 첨부</t>
  </si>
  <si>
    <t>하나 이상의 이미지 자산을 포스트 초안에 첨부한다.</t>
  </si>
  <si>
    <t>PostExecutor.attach_image</t>
  </si>
  <si>
    <t>{"draft_id":"string","media_ids":"array&lt;string&gt;"}</t>
  </si>
  <si>
    <t>초안·이미지 자산 존재; 개수 제한 충족</t>
  </si>
  <si>
    <t>draft media 목록 갱신</t>
  </si>
  <si>
    <t>media_id 기준 멱등</t>
  </si>
  <si>
    <t>IMAGE_ATTACHED</t>
  </si>
  <si>
    <t>XR-P-PR0008</t>
  </si>
  <si>
    <t>attach_video</t>
  </si>
  <si>
    <t>영상 첨부</t>
  </si>
  <si>
    <t>영상 자산을 포스트 초안에 첨부한다.</t>
  </si>
  <si>
    <t>PostExecutor.attach_video</t>
  </si>
  <si>
    <t>{"draft_id":"string","media_id":"string"}</t>
  </si>
  <si>
    <t>초안·영상 자산 존재</t>
  </si>
  <si>
    <t>VIDEO_ATTACHED</t>
  </si>
  <si>
    <t>XR-P-PR0009</t>
  </si>
  <si>
    <t>attach_external_link</t>
  </si>
  <si>
    <t>외부 URL과 선택적 미리보기 정보를 포스트 초안에 첨부한다.</t>
  </si>
  <si>
    <t>PostExecutor.attach_external_link</t>
  </si>
  <si>
    <t>{"draft_id":"string","url":"string","preview_asset_id":"string|null"}</t>
  </si>
  <si>
    <t>초안 존재; URL 형식 유효</t>
  </si>
  <si>
    <t>draft link_url 갱신</t>
  </si>
  <si>
    <t>동일 URL 멱등</t>
  </si>
  <si>
    <t>EXTERNAL_LINK_ATTACHED</t>
  </si>
  <si>
    <t>XR-P-PR0010</t>
  </si>
  <si>
    <t>insert_hashtags</t>
  </si>
  <si>
    <t>지정된 해시태그 배열을 포스트 초안의 본문 또는 태그 필드에 추가한다.</t>
  </si>
  <si>
    <t>PostExecutor.insert_hashtags</t>
  </si>
  <si>
    <t>{"draft_id":"string","hashtags":"array&lt;string&gt;"}</t>
  </si>
  <si>
    <t>초안 존재; 태그 개수 제한 충족</t>
  </si>
  <si>
    <t>draft hashtags 갱신</t>
  </si>
  <si>
    <t>태그 집합 기준 멱등</t>
  </si>
  <si>
    <t>HASHTAGS_INSERTED</t>
  </si>
  <si>
    <t>XR-P-PR0011</t>
  </si>
  <si>
    <t>insert_user_mentions</t>
  </si>
  <si>
    <t>사용자 언급 삽입</t>
  </si>
  <si>
    <t>지정된 사용자 계정 식별자를 포스트 초안에 언급으로 추가한다.</t>
  </si>
  <si>
    <t>PostExecutor.insert_user_mentions</t>
  </si>
  <si>
    <t>{"draft_id":"string","account_ids":"array&lt;string&gt;"}</t>
  </si>
  <si>
    <t>초안·대상 계정 존재</t>
  </si>
  <si>
    <t>draft mentions 갱신</t>
  </si>
  <si>
    <t>계정 집합 기준 멱등</t>
  </si>
  <si>
    <t>USER_MENTIONS_INSERTED</t>
  </si>
  <si>
    <t>XR-P-PR0012</t>
  </si>
  <si>
    <t>insert_reaction_tokens</t>
  </si>
  <si>
    <t>반응 표현 삽입</t>
  </si>
  <si>
    <t>이모지, 감탄사 또는 짧은 반응 표현을 포스트 초안에 삽입한다.</t>
  </si>
  <si>
    <t>PostExecutor.insert_reaction_tokens</t>
  </si>
  <si>
    <t>{"draft_id":"string","tokens":"array&lt;string&gt;","intensity":"number"}</t>
  </si>
  <si>
    <t>초안 존재</t>
  </si>
  <si>
    <t>REACTION_TOKENS_INSERTED</t>
  </si>
  <si>
    <t>XR-P-PR0013</t>
  </si>
  <si>
    <t>set_source_reference</t>
  </si>
  <si>
    <t>출처·인용정보 연결</t>
  </si>
  <si>
    <t>기사, 외부 자료 또는 원본 포스트의 참조정보를 초안에 연결한다.</t>
  </si>
  <si>
    <t>PostExecutor.set_source_reference</t>
  </si>
  <si>
    <t>{"draft_id":"string","source_type":"string","source_id":"string"}</t>
  </si>
  <si>
    <t>초안과 참조 대상 존재</t>
  </si>
  <si>
    <t>draft source_reference 갱신</t>
  </si>
  <si>
    <t>동일 참조 멱등</t>
  </si>
  <si>
    <t>SOURCE_REFERENCE_SET</t>
  </si>
  <si>
    <t>XR-P-PR0014</t>
  </si>
  <si>
    <t>publish_draft</t>
  </si>
  <si>
    <t>포스트 발행</t>
  </si>
  <si>
    <t>완성된 포스트 초안을 플랫폼에 발행하여 조회 가능한 포스트로 전환한다.</t>
  </si>
  <si>
    <t>발행</t>
  </si>
  <si>
    <t>PostExecutor.publish_draft</t>
  </si>
  <si>
    <t>{"draft_id":"string","event_time":"datetime"}</t>
  </si>
  <si>
    <t>필수 필드·플랫폼 정책 검증 통과</t>
  </si>
  <si>
    <t>published_post 생성; draft 종료</t>
  </si>
  <si>
    <t>draft_id 기준 1회</t>
  </si>
  <si>
    <t>POST_PUBLISHED</t>
  </si>
  <si>
    <t>XR-P-PR0015</t>
  </si>
  <si>
    <t>delete_post</t>
  </si>
  <si>
    <t>포스트 삭제</t>
  </si>
  <si>
    <t>발행된 포스트를 삭제 상태로 전환한다.</t>
  </si>
  <si>
    <t>발행후관리</t>
  </si>
  <si>
    <t>PostExecutor.delete_post</t>
  </si>
  <si>
    <t>{"post_id":"string","reason_code":"string"}</t>
  </si>
  <si>
    <t>작성 계정 권한; 포스트 존재</t>
  </si>
  <si>
    <t>post status=deleted</t>
  </si>
  <si>
    <t>post_id 기준 멱등</t>
  </si>
  <si>
    <t>POST_DELETED</t>
  </si>
  <si>
    <t>XR-P-PR0016</t>
  </si>
  <si>
    <t>clone_post_to_draft</t>
  </si>
  <si>
    <t>기존 포스트 초안 복제</t>
  </si>
  <si>
    <t>기존 포스트의 내용을 새로운 편집 가능한 초안으로 복제한다.</t>
  </si>
  <si>
    <t>PostExecutor.clone_to_draft</t>
  </si>
  <si>
    <t>{"source_post_id":"string","account_id":"string"}</t>
  </si>
  <si>
    <t>원본 포스트 접근 가능</t>
  </si>
  <si>
    <t>새 draft_post 생성</t>
  </si>
  <si>
    <t>POST_CLONED_TO_DRAFT</t>
  </si>
  <si>
    <t>XR-P-PR0017</t>
  </si>
  <si>
    <t>modify_draft_content</t>
  </si>
  <si>
    <t>초안 내용 수정</t>
  </si>
  <si>
    <t>기존 초안의 텍스트, 미디어, 링크 또는 태그 일부를 수정한다.</t>
  </si>
  <si>
    <t>PostExecutor.modify_draft</t>
  </si>
  <si>
    <t>{"draft_id":"string","patch":"object"}</t>
  </si>
  <si>
    <t>초안 존재; 수정 필드 허용</t>
  </si>
  <si>
    <t>draft content 갱신</t>
  </si>
  <si>
    <t>동일 patch 멱등</t>
  </si>
  <si>
    <t>POST_DRAFT_MODIFIED</t>
  </si>
  <si>
    <t>XR-P-PR0018</t>
  </si>
  <si>
    <t>insert_call_to_action</t>
  </si>
  <si>
    <t>행동유도 문구 삽입</t>
  </si>
  <si>
    <t>답글, 재게시, 링크 이동, 행사 참여 또는 구매 안내를 위한 행동유도 문구를 초안에 삽입한다.</t>
  </si>
  <si>
    <t>PostExecutor.insert_call_to_action</t>
  </si>
  <si>
    <t>{"draft_id":"string","action_type":"string","template_id":"string"}</t>
  </si>
  <si>
    <t>초안·허용 템플릿 존재</t>
  </si>
  <si>
    <t>draft call_to_action 갱신</t>
  </si>
  <si>
    <t>동일 템플릿 멱등</t>
  </si>
  <si>
    <t>CALL_TO_ACTION_INSERTED</t>
  </si>
  <si>
    <t>Tactic–Technique 다대다 매핑</t>
  </si>
  <si>
    <t>mapping_id</t>
  </si>
  <si>
    <t>relation_type</t>
  </si>
  <si>
    <t>매핑근거</t>
  </si>
  <si>
    <t>mapping_key</t>
  </si>
  <si>
    <t>supports</t>
  </si>
  <si>
    <t>해당 Technique이 Tactic 달성에 사용될 수 있음</t>
  </si>
  <si>
    <t>XR-P-MT0002</t>
  </si>
  <si>
    <t>XR-P-MT0003</t>
  </si>
  <si>
    <t>XR-P-MT0004</t>
  </si>
  <si>
    <t>XR-P-MT0005</t>
  </si>
  <si>
    <t>XR-P-MT0006</t>
  </si>
  <si>
    <t>XR-P-MT0007</t>
  </si>
  <si>
    <t>XR-P-MT0008</t>
  </si>
  <si>
    <t>XR-P-MT0009</t>
  </si>
  <si>
    <t>XR-P-MT0010</t>
  </si>
  <si>
    <t>XR-P-MT0011</t>
  </si>
  <si>
    <t>XR-P-MT0012</t>
  </si>
  <si>
    <t>XR-P-MT0013</t>
  </si>
  <si>
    <t>XR-P-MT0014</t>
  </si>
  <si>
    <t>XR-P-MT0015</t>
  </si>
  <si>
    <t>XR-P-MT0016</t>
  </si>
  <si>
    <t>XR-P-MT0017</t>
  </si>
  <si>
    <t>XR-P-MT0018</t>
  </si>
  <si>
    <t>XR-P-MT0019</t>
  </si>
  <si>
    <t>XR-P-MT0020</t>
  </si>
  <si>
    <t>XR-P-MT0021</t>
  </si>
  <si>
    <t>XR-P-MT0022</t>
  </si>
  <si>
    <t>XR-P-MT0023</t>
  </si>
  <si>
    <t>XR-P-MT0024</t>
  </si>
  <si>
    <t>XR-P-MT0025</t>
  </si>
  <si>
    <t>XR-P-MT0026</t>
  </si>
  <si>
    <t>XR-P-MT0027</t>
  </si>
  <si>
    <t>XR-P-MT0028</t>
  </si>
  <si>
    <t>XR-P-MT0029</t>
  </si>
  <si>
    <t>XR-P-MT0030</t>
  </si>
  <si>
    <t>XR-P-MT0031</t>
  </si>
  <si>
    <t>XR-P-MT0032</t>
  </si>
  <si>
    <t>XR-P-MT0033</t>
  </si>
  <si>
    <t>XR-P-MT0034</t>
  </si>
  <si>
    <t>XR-P-MT0035</t>
  </si>
  <si>
    <t>XR-P-MT0036</t>
  </si>
  <si>
    <t>XR-P-MT0037</t>
  </si>
  <si>
    <t>XR-P-MT0038</t>
  </si>
  <si>
    <t>XR-P-MT0039</t>
  </si>
  <si>
    <t>XR-P-MT0040</t>
  </si>
  <si>
    <t>XR-P-MT0041</t>
  </si>
  <si>
    <t>XR-P-MT0042</t>
  </si>
  <si>
    <t>XR-P-MT0043</t>
  </si>
  <si>
    <t>XR-P-MT0044</t>
  </si>
  <si>
    <t>XR-P-MT0045</t>
  </si>
  <si>
    <t>XR-P-MT0046</t>
  </si>
  <si>
    <t>XR-P-MT0047</t>
  </si>
  <si>
    <t>XR-P-MT0048</t>
  </si>
  <si>
    <t>XR-P-MT0049</t>
  </si>
  <si>
    <t>XR-P-MT0050</t>
  </si>
  <si>
    <t>XR-P-MT0051</t>
  </si>
  <si>
    <t>XR-P-MT0052</t>
  </si>
  <si>
    <t>XR-P-MT0053</t>
  </si>
  <si>
    <t>XR-P-MT0054</t>
  </si>
  <si>
    <t>XR-P-MT0055</t>
  </si>
  <si>
    <t>XR-P-MT0056</t>
  </si>
  <si>
    <t>XR-P-MT0057</t>
  </si>
  <si>
    <t>XR-P-MT0058</t>
  </si>
  <si>
    <t>XR-P-MT0059</t>
  </si>
  <si>
    <t>XR-P-MT0060</t>
  </si>
  <si>
    <t>XR-P-MT0061</t>
  </si>
  <si>
    <t>XR-P-MT0062</t>
  </si>
  <si>
    <t>XR-P-MT0063</t>
  </si>
  <si>
    <t>XR-P-MT0064</t>
  </si>
  <si>
    <t>XR-P-MT0065</t>
  </si>
  <si>
    <t>XR-P-MT0066</t>
  </si>
  <si>
    <t>XR-P-MT0067</t>
  </si>
  <si>
    <t>XR-P-MT0068</t>
  </si>
  <si>
    <t>XR-P-MT0069</t>
  </si>
  <si>
    <t>XR-P-MT0070</t>
  </si>
  <si>
    <t>XR-P-MT0071</t>
  </si>
  <si>
    <t>XR-P-MT0072</t>
  </si>
  <si>
    <t>XR-P-MT0073</t>
  </si>
  <si>
    <t>XR-P-MT0074</t>
  </si>
  <si>
    <t>XR-P-MT0075</t>
  </si>
  <si>
    <t>XR-P-MT0076</t>
  </si>
  <si>
    <t>XR-P-MT0077</t>
  </si>
  <si>
    <t>XR-P-MT0078</t>
  </si>
  <si>
    <t>XR-P-MT0079</t>
  </si>
  <si>
    <t>XR-P-MT0080</t>
  </si>
  <si>
    <t>XR-P-MT0081</t>
  </si>
  <si>
    <t>XR-P-MT0082</t>
  </si>
  <si>
    <t>XR-P-MT0083</t>
  </si>
  <si>
    <t>XR-P-MT0084</t>
  </si>
  <si>
    <t>XR-P-MT0085</t>
  </si>
  <si>
    <t>XR-P-MT0086</t>
  </si>
  <si>
    <t>XR-P-MT0087</t>
  </si>
  <si>
    <t>XR-P-MT0088</t>
  </si>
  <si>
    <t>XR-P-MT0089</t>
  </si>
  <si>
    <t>XR-P-MT0090</t>
  </si>
  <si>
    <t>XR-P-MT0091</t>
  </si>
  <si>
    <t>XR-P-MT0092</t>
  </si>
  <si>
    <t>XR-P-MT0093</t>
  </si>
  <si>
    <t>XR-P-MT0094</t>
  </si>
  <si>
    <t>XR-P-MT0095</t>
  </si>
  <si>
    <t>XR-P-MT0096</t>
  </si>
  <si>
    <t>Technique–Procedure 다대다 매핑</t>
  </si>
  <si>
    <t>order_hint</t>
  </si>
  <si>
    <t>실행역할</t>
  </si>
  <si>
    <t>core</t>
  </si>
  <si>
    <t>본문 구성</t>
  </si>
  <si>
    <t>XR-P-MP0002</t>
  </si>
  <si>
    <t>alternative</t>
  </si>
  <si>
    <t>XR-P-MP0003</t>
  </si>
  <si>
    <t>XR-P-MP0004</t>
  </si>
  <si>
    <t>optional</t>
  </si>
  <si>
    <t>설명 텍스트</t>
  </si>
  <si>
    <t>XR-P-MP0005</t>
  </si>
  <si>
    <t>이미지 중심</t>
  </si>
  <si>
    <t>XR-P-MP0006</t>
  </si>
  <si>
    <t>영상 중심</t>
  </si>
  <si>
    <t>XR-P-MP0007</t>
  </si>
  <si>
    <t>최소 텍스트</t>
  </si>
  <si>
    <t>XR-P-MP0008</t>
  </si>
  <si>
    <t>외부 URL 첨부</t>
  </si>
  <si>
    <t>XR-P-MP0009</t>
  </si>
  <si>
    <t>출처 연결</t>
  </si>
  <si>
    <t>XR-P-MP0010</t>
  </si>
  <si>
    <t>후속 스레드 초안 생성</t>
  </si>
  <si>
    <t>XR-P-MP0011</t>
  </si>
  <si>
    <t>스레드 본문 설정</t>
  </si>
  <si>
    <t>XR-P-MP0012</t>
  </si>
  <si>
    <t>실시간 원문 초안</t>
  </si>
  <si>
    <t>XR-P-MP0013</t>
  </si>
  <si>
    <t>현재 상태 입력</t>
  </si>
  <si>
    <t>XR-P-MP0014</t>
  </si>
  <si>
    <t>사건시각 발행</t>
  </si>
  <si>
    <t>XR-P-MP0015</t>
  </si>
  <si>
    <t>반복 원문 초안</t>
  </si>
  <si>
    <t>XR-P-MP0016</t>
  </si>
  <si>
    <t>상태 변화 입력</t>
  </si>
  <si>
    <t>XR-P-MP0017</t>
  </si>
  <si>
    <t>사건별 발행</t>
  </si>
  <si>
    <t>XR-P-MP0018</t>
  </si>
  <si>
    <t>감정 문구 설정</t>
  </si>
  <si>
    <t>XR-P-MP0019</t>
  </si>
  <si>
    <t>반응 토큰 추가</t>
  </si>
  <si>
    <t>XR-P-MP0020</t>
  </si>
  <si>
    <t>단문 설정</t>
  </si>
  <si>
    <t>XR-P-MP0021</t>
  </si>
  <si>
    <t>이모지·감탄사 추가</t>
  </si>
  <si>
    <t>XR-P-MP0022</t>
  </si>
  <si>
    <t>밈 이미지</t>
  </si>
  <si>
    <t>XR-P-MP0023</t>
  </si>
  <si>
    <t>밈 영상</t>
  </si>
  <si>
    <t>XR-P-MP0024</t>
  </si>
  <si>
    <t>맥락 캡션</t>
  </si>
  <si>
    <t>XR-P-MP0025</t>
  </si>
  <si>
    <t>답글 초안</t>
  </si>
  <si>
    <t>XR-P-MP0026</t>
  </si>
  <si>
    <t>답글 본문</t>
  </si>
  <si>
    <t>XR-P-MP0027</t>
  </si>
  <si>
    <t>답글 발행</t>
  </si>
  <si>
    <t>XR-P-MP0028</t>
  </si>
  <si>
    <t>사용자 계정 언급</t>
  </si>
  <si>
    <t>XR-P-MP0029</t>
  </si>
  <si>
    <t>질문형 문장 설정</t>
  </si>
  <si>
    <t>XR-P-MP0030</t>
  </si>
  <si>
    <t>공동체 표현 설정</t>
  </si>
  <si>
    <t>XR-P-MP0031</t>
  </si>
  <si>
    <t>공동체 해시태그</t>
  </si>
  <si>
    <t>XR-P-MP0032</t>
  </si>
  <si>
    <t>인용 초안</t>
  </si>
  <si>
    <t>XR-P-MP0033</t>
  </si>
  <si>
    <t>원본 연결</t>
  </si>
  <si>
    <t>XR-P-MP0034</t>
  </si>
  <si>
    <t>추가 맥락</t>
  </si>
  <si>
    <t>XR-P-MP0035</t>
  </si>
  <si>
    <t>인용 발행</t>
  </si>
  <si>
    <t>XR-P-MP0036</t>
  </si>
  <si>
    <t>동의·지지 본문</t>
  </si>
  <si>
    <t>XR-P-MP0037</t>
  </si>
  <si>
    <t>반박·비판 본문</t>
  </si>
  <si>
    <t>XR-P-MP0038</t>
  </si>
  <si>
    <t>정정 대상 연결</t>
  </si>
  <si>
    <t>XR-P-MP0039</t>
  </si>
  <si>
    <t>보완·정정 내용</t>
  </si>
  <si>
    <t>XR-P-MP0040</t>
  </si>
  <si>
    <t>기존 초안 수정</t>
  </si>
  <si>
    <t>XR-P-MP0041</t>
  </si>
  <si>
    <t>XR-P-MP0042</t>
  </si>
  <si>
    <t>XR-P-MP0043</t>
  </si>
  <si>
    <t>유머·풍자 맥락</t>
  </si>
  <si>
    <t>XR-P-MP0044</t>
  </si>
  <si>
    <t>XR-P-MP0045</t>
  </si>
  <si>
    <t>XR-P-MP0046</t>
  </si>
  <si>
    <t>추가 맥락 포함</t>
  </si>
  <si>
    <t>XR-P-MP0047</t>
  </si>
  <si>
    <t>변경 없는 재게시</t>
  </si>
  <si>
    <t>XR-P-MP0048</t>
  </si>
  <si>
    <t>인용 원본 연결</t>
  </si>
  <si>
    <t>XR-P-MP0049</t>
  </si>
  <si>
    <t>XR-P-MP0050</t>
  </si>
  <si>
    <t>XR-P-MP0051</t>
  </si>
  <si>
    <t>링크 이동 유도 문구</t>
  </si>
  <si>
    <t>XR-P-MP0052</t>
  </si>
  <si>
    <t>미리보기 이미지</t>
  </si>
  <si>
    <t>XR-P-MP0053</t>
  </si>
  <si>
    <t>과거 포스트 연결</t>
  </si>
  <si>
    <t>XR-P-MP0054</t>
  </si>
  <si>
    <t>변경 상태 입력</t>
  </si>
  <si>
    <t>XR-P-MP0055</t>
  </si>
  <si>
    <t>비교·평가 내용</t>
  </si>
  <si>
    <t>XR-P-MP0056</t>
  </si>
  <si>
    <t>비교 이미지</t>
  </si>
  <si>
    <t>XR-P-MP0057</t>
  </si>
  <si>
    <t>비교 영상</t>
  </si>
  <si>
    <t>XR-P-MP0058</t>
  </si>
  <si>
    <t>행사 정보 설정</t>
  </si>
  <si>
    <t>XR-P-MP0059</t>
  </si>
  <si>
    <t>참여 행동유도 문구</t>
  </si>
  <si>
    <t>XR-P-MP0060</t>
  </si>
  <si>
    <t>재게시 요청 문구</t>
  </si>
  <si>
    <t>XR-P-MP0061</t>
  </si>
  <si>
    <t>상품·서비스 정보</t>
  </si>
  <si>
    <t>XR-P-MP0062</t>
  </si>
  <si>
    <t>구매·후원·구독 안내</t>
  </si>
  <si>
    <t>XR-P-MP0063</t>
  </si>
  <si>
    <t>외부 목적지 링크</t>
  </si>
  <si>
    <t>XR-P-MP0064</t>
  </si>
  <si>
    <t>홍보 이미지</t>
  </si>
  <si>
    <t>XR-P-MP0065</t>
  </si>
  <si>
    <t>홍보 영상</t>
  </si>
  <si>
    <t>XR-P-MP0066</t>
  </si>
  <si>
    <t>기존 포스트 삭제</t>
  </si>
  <si>
    <t>XR-P-MP0067</t>
  </si>
  <si>
    <t>내용을 새 초안으로 복제</t>
  </si>
  <si>
    <t>XR-P-MP0068</t>
  </si>
  <si>
    <t>초안 일부 수정</t>
  </si>
  <si>
    <t>XR-P-MP0069</t>
  </si>
  <si>
    <t>새 포스트 발행</t>
  </si>
  <si>
    <t>XR-P-CI0002</t>
  </si>
  <si>
    <t>XR-P-CI0003</t>
  </si>
  <si>
    <t>XR-P-CI0004</t>
  </si>
  <si>
    <t>XR-P-CI0005</t>
  </si>
  <si>
    <t>XR-P-TE0008; XR-P-TE0009</t>
  </si>
  <si>
    <t>XR-P-CI0006</t>
  </si>
  <si>
    <t>XR-P-CI0007</t>
  </si>
  <si>
    <t>XR-P-TE0004; XR-P-TE0018</t>
  </si>
  <si>
    <t>XR-P-CI0008</t>
  </si>
  <si>
    <t>XR-P-TE0001; XR-P-TE0002</t>
  </si>
  <si>
    <t>XR-P-CI0010</t>
  </si>
  <si>
    <t>XR-P-CI0011</t>
  </si>
  <si>
    <t>XR-P-CI0012</t>
  </si>
  <si>
    <t>XR-P-CI0013</t>
  </si>
  <si>
    <t>XR-P-TE0011; XR-P-TE0013</t>
  </si>
  <si>
    <t>XR-P-CI0014</t>
  </si>
  <si>
    <t>XR-P-CI0015</t>
  </si>
  <si>
    <t>XR-P-CI0016</t>
  </si>
  <si>
    <t>XR-P-TE0014; XR-P-TE0022</t>
  </si>
  <si>
    <t>XR-P-TE0012; XR-P-TE0016</t>
  </si>
  <si>
    <t>XR-P-TE0012; XR-P-TE0017</t>
  </si>
  <si>
    <t>XR-P-CI0020</t>
  </si>
  <si>
    <t>XR-P-CI0021</t>
  </si>
  <si>
    <t>XR-P-CI0022</t>
  </si>
  <si>
    <t>XR-P-SP0004</t>
  </si>
  <si>
    <t>XR-P-SP0005</t>
  </si>
  <si>
    <t>콘텐츠 의도 사전</t>
  </si>
  <si>
    <t>content_intent_id</t>
  </si>
  <si>
    <t>콘텐츠 슬롯</t>
  </si>
  <si>
    <t>연결 Tactic</t>
  </si>
  <si>
    <t>권장 Technique</t>
  </si>
  <si>
    <t>daily_status</t>
  </si>
  <si>
    <t>일상·상태공유</t>
  </si>
  <si>
    <t>현재 일상, 상태 또는 기분을 공유하는 콘텐츠 의도</t>
  </si>
  <si>
    <t>일상 주제, 시간, 장소, 감정</t>
  </si>
  <si>
    <t>XR-P-TA0001; XR-P-TA0002</t>
  </si>
  <si>
    <t>personal_experience</t>
  </si>
  <si>
    <t>개인경험전달</t>
  </si>
  <si>
    <t>자신이 직접 겪은 경험을 전달하는 콘텐츠 의도</t>
  </si>
  <si>
    <t>경험 사건, 시점, 평가</t>
  </si>
  <si>
    <t>XR-P-TE0001; XR-P-TE0005</t>
  </si>
  <si>
    <t>third_party_experience</t>
  </si>
  <si>
    <t>타인경험전달</t>
  </si>
  <si>
    <t>타인의 경험이나 사례를 정리해 전달하는 콘텐츠 의도</t>
  </si>
  <si>
    <t>출처, 경험 요약, 맥락</t>
  </si>
  <si>
    <t>XR-P-TE0005; XR-P-TE0013</t>
  </si>
  <si>
    <t>information_analysis_summary</t>
  </si>
  <si>
    <t>정보·분석정리</t>
  </si>
  <si>
    <t>정보나 분석 결과를 구조화하여 전달하는 콘텐츠 의도</t>
  </si>
  <si>
    <t>주제, 핵심 정보, 근거</t>
  </si>
  <si>
    <t>immediate_emotional_reaction</t>
  </si>
  <si>
    <t>즉시감정반응</t>
  </si>
  <si>
    <t>사건이나 콘텐츠를 보고 느낀 즉각적 정서를 표현하는 콘텐츠 의도</t>
  </si>
  <si>
    <t>감정, 강도, 대상</t>
  </si>
  <si>
    <t>humor_joke_satire</t>
  </si>
  <si>
    <t>유머·농담·풍자</t>
  </si>
  <si>
    <t>기존 맥락을 유머, 농담 또는 풍자로 재구성하는 콘텐츠 의도</t>
  </si>
  <si>
    <t>원본 맥락, 유머 방식</t>
  </si>
  <si>
    <t>XR-P-TA0002; XR-P-TA0005</t>
  </si>
  <si>
    <t>XR-P-TE0010; XR-P-TE0019</t>
  </si>
  <si>
    <t>article_material_summary</t>
  </si>
  <si>
    <t>기사·자료요약</t>
  </si>
  <si>
    <t>기사나 외부 자료의 핵심 내용을 요약하여 공유하는 콘텐츠 의도</t>
  </si>
  <si>
    <t>출처 URL, 요약, 핵심 문장</t>
  </si>
  <si>
    <t>usage_experience_review</t>
  </si>
  <si>
    <t>사용·경험후기</t>
  </si>
  <si>
    <t>제품, 서비스 또는 경험에 대한 후기를 공유하는 콘텐츠 의도</t>
  </si>
  <si>
    <t>대상, 사용기간, 평가</t>
  </si>
  <si>
    <t>XR-P-TA0001; XR-P-TA0003</t>
  </si>
  <si>
    <t>XR-P-CI0009</t>
  </si>
  <si>
    <t>status_change_update</t>
  </si>
  <si>
    <t>상황갱신</t>
  </si>
  <si>
    <t>이전에 공유한 상황이나 과거 포스트의 최신 변화를 전달하는 콘텐츠 의도</t>
  </si>
  <si>
    <t>이전 상태, 변경 상태, 기준 시각</t>
  </si>
  <si>
    <t>correction_supplement</t>
  </si>
  <si>
    <t>오류정정·내용보완</t>
  </si>
  <si>
    <t>기존 내용의 오류를 수정하거나 부족한 설명을 보완하는 콘텐츠 의도</t>
  </si>
  <si>
    <t>정정 대상, 변경 내용, 근거</t>
  </si>
  <si>
    <t>XR-P-TA0003; XR-P-TA0004</t>
  </si>
  <si>
    <t>empathy_support_opinion</t>
  </si>
  <si>
    <t>공감·지지의견</t>
  </si>
  <si>
    <t>특정 대상이나 주장에 공감 또는 지지를 표현하는 콘텐츠 의도</t>
  </si>
  <si>
    <t>대상, 지지 근거, 강도</t>
  </si>
  <si>
    <t>opposition_critical_opinion</t>
  </si>
  <si>
    <t>반대·비판의견</t>
  </si>
  <si>
    <t>특정 대상이나 주장에 반대 또는 비판을 표현하는 콘텐츠 의도</t>
  </si>
  <si>
    <t>대상, 비판 근거, 강도</t>
  </si>
  <si>
    <t>information_question</t>
  </si>
  <si>
    <t>정보질문</t>
  </si>
  <si>
    <t>알지 못하는 정보나 추가 설명을 질문하는 콘텐츠 의도</t>
  </si>
  <si>
    <t>질문 대상, 질문 유형</t>
  </si>
  <si>
    <t>XR-P-TA0004; XR-P-TA0010</t>
  </si>
  <si>
    <t>conversation_participation</t>
  </si>
  <si>
    <t>대화참여</t>
  </si>
  <si>
    <t>진행 중인 대화 흐름에 새로운 의견이나 반응을 추가하는 콘텐츠 의도</t>
  </si>
  <si>
    <t>대화 주제, 참여 입장</t>
  </si>
  <si>
    <t>비교평가</t>
  </si>
  <si>
    <t>복수 대상의 특성과 경험을 동일한 축에서 비교·평가하는 콘텐츠 의도</t>
  </si>
  <si>
    <t>비교 대상, 평가 축, 결과</t>
  </si>
  <si>
    <t>XR-P-TA0003; XR-P-TA0005</t>
  </si>
  <si>
    <t>media_highlight</t>
  </si>
  <si>
    <t>미디어강조</t>
  </si>
  <si>
    <t>텍스트보다 이미지 또는 영상을 핵심 정보로 제시하는 콘텐츠 의도</t>
  </si>
  <si>
    <t>미디어 자산, 최소 캡션</t>
  </si>
  <si>
    <t>XR-P-TA0001; XR-P-TA0007</t>
  </si>
  <si>
    <t>XR-P-CI0017</t>
  </si>
  <si>
    <t>community_participation_expression</t>
  </si>
  <si>
    <t>공동체참여표현</t>
  </si>
  <si>
    <t>공동체 언어와 해시태그를 사용해 집단 참여와 소속을 표현하는 콘텐츠 의도</t>
  </si>
  <si>
    <t>공동체 ID, 어휘, 해시태그</t>
  </si>
  <si>
    <t>XR-P-TA0008; XR-P-TA0009</t>
  </si>
  <si>
    <t>XR-P-CI0018</t>
  </si>
  <si>
    <t>public_congratulation_support</t>
  </si>
  <si>
    <t>공개축하·응원</t>
  </si>
  <si>
    <t>특정 사용자나 대상을 공개적으로 축하하거나 응원하는 콘텐츠 의도</t>
  </si>
  <si>
    <t>대상 계정, 축하 사유</t>
  </si>
  <si>
    <t>XR-P-TA0002; XR-P-TA0009</t>
  </si>
  <si>
    <t>XR-P-CI0019</t>
  </si>
  <si>
    <t>public_criticism</t>
  </si>
  <si>
    <t>공개비판</t>
  </si>
  <si>
    <t>특정 사용자나 대상을 공개적으로 비판하는 콘텐츠 의도</t>
  </si>
  <si>
    <t>대상 계정, 비판 사유</t>
  </si>
  <si>
    <t>재게시요청</t>
  </si>
  <si>
    <t>다른 사용자에게 포스트의 재게시와 확산을 요청하는 콘텐츠 의도</t>
  </si>
  <si>
    <t>요청 대상, 요청 문구</t>
  </si>
  <si>
    <t>XR-P-TA0006; XR-P-TA0010</t>
  </si>
  <si>
    <t>행사·참여모집</t>
  </si>
  <si>
    <t>행사나 공동 활동 정보를 제공하고 참여자를 모집하는 콘텐츠 의도</t>
  </si>
  <si>
    <t>시간, 장소, 참여조건</t>
  </si>
  <si>
    <t>XR-P-TA0008; XR-P-TA0010</t>
  </si>
  <si>
    <t>external_link_guidance</t>
  </si>
  <si>
    <t>외부링크안내</t>
  </si>
  <si>
    <t>외부 페이지의 가치나 미리보기를 제시하고 이동을 안내하는 콘텐츠 의도</t>
  </si>
  <si>
    <t>URL, 안내 이유, 미리보기</t>
  </si>
  <si>
    <t>XR-P-CI0023</t>
  </si>
  <si>
    <t>상품·서비스홍보</t>
  </si>
  <si>
    <t>상품, 서비스, 후원 또는 구독 정보를 안내하는 콘텐츠 의도</t>
  </si>
  <si>
    <t>제공 항목, 가격, 문의·구매 경로</t>
  </si>
  <si>
    <t>이산사건 스케줄·대상 선택 보조정책</t>
  </si>
  <si>
    <t>policy_id</t>
  </si>
  <si>
    <t>policy_type</t>
  </si>
  <si>
    <t>파라미터</t>
  </si>
  <si>
    <t>연결 Technique</t>
  </si>
  <si>
    <t>담당컴포넌트</t>
  </si>
  <si>
    <t>schedule</t>
  </si>
  <si>
    <t>event_triggered_realtime</t>
  </si>
  <si>
    <t>사건기반 실시간 실행</t>
  </si>
  <si>
    <t>외부 또는 내부 사건 발생 시 포스트 이벤트를 즉시 예약한다.</t>
  </si>
  <si>
    <t>trigger_event, delay_distribution</t>
  </si>
  <si>
    <t>UserBehaviorScheduler</t>
  </si>
  <si>
    <t>XR-P-SP0002</t>
  </si>
  <si>
    <t>event_triggered_continuous</t>
  </si>
  <si>
    <t>사건기반 연속 실행</t>
  </si>
  <si>
    <t>연속되는 사건 변화마다 후속 포스트 이벤트를 생성한다.</t>
  </si>
  <si>
    <t>trigger_event, max_events, interarrival_distribution</t>
  </si>
  <si>
    <t>XR-P-SP0003</t>
  </si>
  <si>
    <t>periodic_update</t>
  </si>
  <si>
    <t>주기적 상태 갱신</t>
  </si>
  <si>
    <t>지정된 주기 또는 상태 변경 기준에 따라 갱신 포스트 이벤트를 생성한다.</t>
  </si>
  <si>
    <t>interval_distribution, change_threshold</t>
  </si>
  <si>
    <t>thread_followup</t>
  </si>
  <si>
    <t>스레드 후속 실행</t>
  </si>
  <si>
    <t>기존 스레드 이후 후속 내용을 추가할 사건 시각을 생성한다.</t>
  </si>
  <si>
    <t>thread_id, delay_distribution, max_depth</t>
  </si>
  <si>
    <t>delete_modify_republish_trigger</t>
  </si>
  <si>
    <t>삭제·수정·재발행 트리거</t>
  </si>
  <si>
    <t>오류 발견, 사용자 결정 또는 정책 사건 발생 시 삭제·수정·재발행 절차를 예약한다.</t>
  </si>
  <si>
    <t>trigger_type, delay_distribution, modification_scope</t>
  </si>
  <si>
    <t>audience</t>
  </si>
  <si>
    <t>mutual_follow_targeting</t>
  </si>
  <si>
    <t>친밀관계 대상 선택</t>
  </si>
  <si>
    <t>상호 팔로우 또는 친밀도 기준을 충족하는 사용자의 포스트를 상호작용 대상으로 선택한다.</t>
  </si>
  <si>
    <t>relationship_threshold, candidate_limit</t>
  </si>
  <si>
    <t>XR-P-TE0011; XR-P-TE0015</t>
  </si>
  <si>
    <t>UserBehaviorController</t>
  </si>
  <si>
    <t>XR-U-AP0002</t>
  </si>
  <si>
    <t>community_targeting</t>
  </si>
  <si>
    <t>공동체 대상 선택</t>
  </si>
  <si>
    <t>관심사 또는 공동체 소속도가 높은 사용자와 포스트를 대상으로 선택한다.</t>
  </si>
  <si>
    <t>community_id, affinity_threshold</t>
  </si>
  <si>
    <t>XR-P-TE0012; XR-P-TE0014; XR-P-TE0022</t>
  </si>
  <si>
    <t>XR-U-AP0003</t>
  </si>
  <si>
    <t>explicit_user_targeting</t>
  </si>
  <si>
    <t>명시적 사용자 대상 선택</t>
  </si>
  <si>
    <t>설정된 계정 또는 사건에 등장한 계정을 언급·답글·인용 대상으로 선택한다.</t>
  </si>
  <si>
    <t>target_account_ids, selection_rule</t>
  </si>
  <si>
    <t>XR-P-TE0011; XR-P-TE0012; XR-P-TE0015</t>
  </si>
  <si>
    <t>코드 Enum 및 직렬화 키</t>
  </si>
  <si>
    <t>enum_class</t>
  </si>
  <si>
    <t>id</t>
  </si>
  <si>
    <t>enum_member</t>
  </si>
  <si>
    <t>JSON_key</t>
  </si>
  <si>
    <t>registry_path</t>
  </si>
  <si>
    <t>PlatformTactic</t>
  </si>
  <si>
    <t>SELF_EXPRESSION_STATUS_SHARING</t>
  </si>
  <si>
    <t>tactic_ids</t>
  </si>
  <si>
    <t>TTPRegistry.tactics</t>
  </si>
  <si>
    <t>EMOTION_SHARING_EMPATHY</t>
  </si>
  <si>
    <t>INFORMATION_EXPERIENCE_DELIVERY</t>
  </si>
  <si>
    <t>CONVERSATION_DISCUSSION_PARTICIPATION</t>
  </si>
  <si>
    <t>OPINION_POSITION_EXPRESSION</t>
  </si>
  <si>
    <t>CONTENT_DIFFUSION_REDISTRIBUTION</t>
  </si>
  <si>
    <t>VISIBILITY_REACH_EXPANSION</t>
  </si>
  <si>
    <t>RELATIONSHIP_COMMUNITY_FORMATION</t>
  </si>
  <si>
    <t>RELATIONSHIP_COMMUNITY_MAINTENANCE</t>
  </si>
  <si>
    <t>ENGAGEMENT_ACTION_INDUCTION</t>
  </si>
  <si>
    <t>EXTERNAL_CHANNEL_CONNECTION</t>
  </si>
  <si>
    <t>PLATFORM_MONETIZATION</t>
  </si>
  <si>
    <t>PlatformTechnique</t>
  </si>
  <si>
    <t>TEXT_ONLY_POST</t>
  </si>
  <si>
    <t>platform_technique_ids</t>
  </si>
  <si>
    <t>TTPRegistry.techniques</t>
  </si>
  <si>
    <t>MEDIA_ATTACHED_POST</t>
  </si>
  <si>
    <t>MEDIA_EMPHASIS_POST</t>
  </si>
  <si>
    <t>EXTERNAL_LINK_ATTACHMENT</t>
  </si>
  <si>
    <t>THREAD_COMPOSITION</t>
  </si>
  <si>
    <t>REALTIME_STATUS_POST</t>
  </si>
  <si>
    <t>REALTIME_CONTINUOUS_POST</t>
  </si>
  <si>
    <t>EMOTIONAL_REACTION_POST</t>
  </si>
  <si>
    <t>SHORT_IMMEDIATE_REACTION</t>
  </si>
  <si>
    <t>MEME_CONTEXTUALIZATION</t>
  </si>
  <si>
    <t>REPLY_PARTICIPATION</t>
  </si>
  <si>
    <t>USER_MENTION</t>
  </si>
  <si>
    <t>QUESTION_PROMPT</t>
  </si>
  <si>
    <t>COMMUNITY_VOCABULARY</t>
  </si>
  <si>
    <t>QUOTE_POST</t>
  </si>
  <si>
    <t>AGREEMENT_SUPPORT_EXPRESSION</t>
  </si>
  <si>
    <t>OPPOSITION_CRITICISM_EXPRESSION</t>
  </si>
  <si>
    <t>SUPPLEMENT_CORRECTION</t>
  </si>
  <si>
    <t>HUMOR_SATIRE_RECONTEXTUALIZATION</t>
  </si>
  <si>
    <t>REPOST</t>
  </si>
  <si>
    <t>QUOTE_REPOST</t>
  </si>
  <si>
    <t>HASHTAG_UTILIZATION</t>
  </si>
  <si>
    <t>EXTERNAL_LINK_INDUCEMENT</t>
  </si>
  <si>
    <t>CONTENT_STATUS_UPDATE</t>
  </si>
  <si>
    <t>COMPARATIVE_EVALUATION</t>
  </si>
  <si>
    <t>EVENT_PARTICIPATION_RECRUITMENT</t>
  </si>
  <si>
    <t>REPOST_REQUEST</t>
  </si>
  <si>
    <t>PRODUCT_SERVICE_PROMOTION</t>
  </si>
  <si>
    <t>DELETE_MODIFY_REPUBLISH</t>
  </si>
  <si>
    <t>PlatformProcedure</t>
  </si>
  <si>
    <t>CREATE_ORIGINAL_DRAFT</t>
  </si>
  <si>
    <t>procedure_sequence</t>
  </si>
  <si>
    <t>TTPRegistry.procedures</t>
  </si>
  <si>
    <t>CREATE_REPLY_DRAFT</t>
  </si>
  <si>
    <t>CREATE_QUOTE_DRAFT</t>
  </si>
  <si>
    <t>EXECUTE_REPOST</t>
  </si>
  <si>
    <t>APPEND_THREAD_DRAFT</t>
  </si>
  <si>
    <t>SET_BODY_TEXT</t>
  </si>
  <si>
    <t>ATTACH_IMAGE</t>
  </si>
  <si>
    <t>ATTACH_VIDEO</t>
  </si>
  <si>
    <t>ATTACH_EXTERNAL_LINK</t>
  </si>
  <si>
    <t>INSERT_HASHTAGS</t>
  </si>
  <si>
    <t>INSERT_USER_MENTIONS</t>
  </si>
  <si>
    <t>INSERT_REACTION_TOKENS</t>
  </si>
  <si>
    <t>SET_SOURCE_REFERENCE</t>
  </si>
  <si>
    <t>PUBLISH_DRAFT</t>
  </si>
  <si>
    <t>DELETE_POST</t>
  </si>
  <si>
    <t>CLONE_POST_TO_DRAFT</t>
  </si>
  <si>
    <t>MODIFY_DRAFT_CONTENT</t>
  </si>
  <si>
    <t>INSERT_CALL_TO_ACTION</t>
  </si>
  <si>
    <r>
      <rPr>
        <sz val="10"/>
        <color rgb="FF334155"/>
        <rFont val="맑은 고딕"/>
        <family val="3"/>
        <charset val="129"/>
      </rPr>
      <t>정상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사용자와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범죄자가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공통으로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사용할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있는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게시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목적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범죄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의미는</t>
    </r>
    <r>
      <rPr>
        <sz val="10"/>
        <color rgb="FF334155"/>
        <rFont val="Arial"/>
        <family val="2"/>
      </rPr>
      <t xml:space="preserve"> XR-C-</t>
    </r>
    <r>
      <rPr>
        <sz val="10"/>
        <color rgb="FF334155"/>
        <rFont val="맑은 고딕"/>
        <family val="3"/>
        <charset val="129"/>
      </rPr>
      <t>확장</t>
    </r>
    <r>
      <rPr>
        <sz val="10"/>
        <color rgb="FF334155"/>
        <rFont val="Arial"/>
        <family val="2"/>
      </rPr>
      <t xml:space="preserve"> TTP</t>
    </r>
    <r>
      <rPr>
        <sz val="10"/>
        <color rgb="FF334155"/>
        <rFont val="맑은 고딕"/>
        <family val="3"/>
        <charset val="129"/>
      </rPr>
      <t>에서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추가함</t>
    </r>
    <phoneticPr fontId="6" type="noConversion"/>
  </si>
  <si>
    <r>
      <t>Tactic</t>
    </r>
    <r>
      <rPr>
        <sz val="10"/>
        <color rgb="FF334155"/>
        <rFont val="맑은 고딕"/>
        <family val="3"/>
        <charset val="129"/>
      </rPr>
      <t>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달성하기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위한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게시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방법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하나의</t>
    </r>
    <r>
      <rPr>
        <sz val="10"/>
        <color rgb="FF334155"/>
        <rFont val="Arial"/>
        <family val="2"/>
      </rPr>
      <t xml:space="preserve"> Technique</t>
    </r>
    <r>
      <rPr>
        <sz val="10"/>
        <color rgb="FF334155"/>
        <rFont val="맑은 고딕"/>
        <family val="3"/>
        <charset val="129"/>
      </rPr>
      <t>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복수</t>
    </r>
    <r>
      <rPr>
        <sz val="10"/>
        <color rgb="FF334155"/>
        <rFont val="Arial"/>
        <family val="2"/>
      </rPr>
      <t xml:space="preserve"> Tactic</t>
    </r>
    <r>
      <rPr>
        <sz val="10"/>
        <color rgb="FF334155"/>
        <rFont val="맑은 고딕"/>
        <family val="3"/>
        <charset val="129"/>
      </rPr>
      <t>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연결될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있으며</t>
    </r>
    <r>
      <rPr>
        <sz val="10"/>
        <color rgb="FF334155"/>
        <rFont val="Arial"/>
        <family val="2"/>
      </rPr>
      <t xml:space="preserve">, </t>
    </r>
    <r>
      <rPr>
        <sz val="10"/>
        <color rgb="FF334155"/>
        <rFont val="맑은 고딕"/>
        <family val="3"/>
        <charset val="129"/>
      </rPr>
      <t>게시글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하나에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여러</t>
    </r>
    <r>
      <rPr>
        <sz val="10"/>
        <color rgb="FF334155"/>
        <rFont val="Arial"/>
        <family val="2"/>
      </rPr>
      <t xml:space="preserve"> Technique</t>
    </r>
    <r>
      <rPr>
        <sz val="10"/>
        <color rgb="FF334155"/>
        <rFont val="맑은 고딕"/>
        <family val="3"/>
        <charset val="129"/>
      </rPr>
      <t>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함께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선택됨</t>
    </r>
    <phoneticPr fontId="6" type="noConversion"/>
  </si>
  <si>
    <r>
      <rPr>
        <sz val="10"/>
        <color rgb="FF334155"/>
        <rFont val="맑은 고딕"/>
        <family val="3"/>
        <charset val="129"/>
      </rPr>
      <t>코드가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직접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있는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단일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함수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또는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상태변경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콘텐츠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의미와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발생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시각은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각각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콘텐츠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의도와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스케줄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정책에서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전달받음</t>
    </r>
    <phoneticPr fontId="6" type="noConversion"/>
  </si>
  <si>
    <r>
      <t xml:space="preserve">Technique </t>
    </r>
    <r>
      <rPr>
        <sz val="10"/>
        <color rgb="FF334155"/>
        <rFont val="맑은 고딕"/>
        <family val="3"/>
        <charset val="129"/>
      </rPr>
      <t>선택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달성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가능한</t>
    </r>
    <r>
      <rPr>
        <sz val="10"/>
        <color rgb="FF334155"/>
        <rFont val="Arial"/>
        <family val="2"/>
      </rPr>
      <t xml:space="preserve"> Tactic </t>
    </r>
    <r>
      <rPr>
        <sz val="10"/>
        <color rgb="FF334155"/>
        <rFont val="맑은 고딕"/>
        <family val="2"/>
        <charset val="129"/>
      </rPr>
      <t>정의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복합</t>
    </r>
    <r>
      <rPr>
        <sz val="10"/>
        <color rgb="FF334155"/>
        <rFont val="Arial"/>
        <family val="2"/>
      </rPr>
      <t xml:space="preserve"> Tactic</t>
    </r>
    <r>
      <rPr>
        <sz val="10"/>
        <color rgb="FF334155"/>
        <rFont val="맑은 고딕"/>
        <family val="3"/>
        <charset val="129"/>
      </rPr>
      <t>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새로운</t>
    </r>
    <r>
      <rPr>
        <sz val="10"/>
        <color rgb="FF334155"/>
        <rFont val="Arial"/>
        <family val="2"/>
      </rPr>
      <t xml:space="preserve"> Tactic ID</t>
    </r>
    <r>
      <rPr>
        <sz val="10"/>
        <color rgb="FF334155"/>
        <rFont val="맑은 고딕"/>
        <family val="3"/>
        <charset val="129"/>
      </rPr>
      <t>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만들지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않고</t>
    </r>
    <r>
      <rPr>
        <sz val="10"/>
        <color rgb="FF334155"/>
        <rFont val="Arial"/>
        <family val="2"/>
      </rPr>
      <t xml:space="preserve"> tactic_ids </t>
    </r>
    <r>
      <rPr>
        <sz val="10"/>
        <color rgb="FF334155"/>
        <rFont val="맑은 고딕"/>
        <family val="3"/>
        <charset val="129"/>
      </rPr>
      <t>배열로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표현함</t>
    </r>
    <phoneticPr fontId="6" type="noConversion"/>
  </si>
  <si>
    <r>
      <t>core</t>
    </r>
    <r>
      <rPr>
        <sz val="10"/>
        <color rgb="FF334155"/>
        <rFont val="맑은 고딕"/>
        <family val="3"/>
        <charset val="129"/>
      </rPr>
      <t>는</t>
    </r>
    <r>
      <rPr>
        <sz val="10"/>
        <color rgb="FF334155"/>
        <rFont val="Arial"/>
        <family val="2"/>
      </rPr>
      <t xml:space="preserve"> Technique </t>
    </r>
    <r>
      <rPr>
        <sz val="10"/>
        <color rgb="FF334155"/>
        <rFont val="맑은 고딕"/>
        <family val="3"/>
        <charset val="129"/>
      </rPr>
      <t>실현에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필수</t>
    </r>
    <r>
      <rPr>
        <sz val="10"/>
        <color rgb="FF334155"/>
        <rFont val="Arial"/>
        <family val="2"/>
      </rPr>
      <t>, alternative</t>
    </r>
    <r>
      <rPr>
        <sz val="10"/>
        <color rgb="FF334155"/>
        <rFont val="맑은 고딕"/>
        <family val="3"/>
        <charset val="129"/>
      </rPr>
      <t>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동일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목적의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선택지</t>
    </r>
    <r>
      <rPr>
        <sz val="10"/>
        <color rgb="FF334155"/>
        <rFont val="Arial"/>
        <family val="2"/>
      </rPr>
      <t>, optional</t>
    </r>
    <r>
      <rPr>
        <sz val="10"/>
        <color rgb="FF334155"/>
        <rFont val="맑은 고딕"/>
        <family val="3"/>
        <charset val="129"/>
      </rPr>
      <t>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설정과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확률에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따라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추가되는</t>
    </r>
    <r>
      <rPr>
        <sz val="10"/>
        <color rgb="FF334155"/>
        <rFont val="Arial"/>
        <family val="2"/>
      </rPr>
      <t xml:space="preserve"> Procedure</t>
    </r>
    <phoneticPr fontId="6" type="noConversion"/>
  </si>
  <si>
    <r>
      <rPr>
        <sz val="10"/>
        <color rgb="FF334155"/>
        <rFont val="맑은 고딕"/>
        <family val="3"/>
        <charset val="129"/>
      </rPr>
      <t>콘텐츠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의도는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게시글이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무엇을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말하는지를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정의하며</t>
    </r>
    <r>
      <rPr>
        <sz val="10"/>
        <color rgb="FF334155"/>
        <rFont val="Arial"/>
        <family val="2"/>
      </rPr>
      <t xml:space="preserve"> TTP</t>
    </r>
    <r>
      <rPr>
        <sz val="10"/>
        <color rgb="FF334155"/>
        <rFont val="맑은 고딕"/>
        <family val="3"/>
        <charset val="129"/>
      </rPr>
      <t>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아님.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콘텐츠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생성기와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생성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콘텐츠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풀의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분류키로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사용함</t>
    </r>
    <phoneticPr fontId="6" type="noConversion"/>
  </si>
  <si>
    <r>
      <rPr>
        <sz val="10"/>
        <color rgb="FF334155"/>
        <rFont val="맑은 고딕"/>
        <family val="3"/>
        <charset val="129"/>
      </rPr>
      <t>언제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게시할지와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누구를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대상으로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할지는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포스트</t>
    </r>
    <r>
      <rPr>
        <sz val="10"/>
        <color rgb="FF334155"/>
        <rFont val="Arial"/>
        <family val="2"/>
      </rPr>
      <t xml:space="preserve"> TTP</t>
    </r>
    <r>
      <rPr>
        <sz val="10"/>
        <color rgb="FF334155"/>
        <rFont val="맑은 고딕"/>
        <family val="3"/>
        <charset val="129"/>
      </rPr>
      <t>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분리함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스케줄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정책은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이산사건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생성</t>
    </r>
    <r>
      <rPr>
        <sz val="10"/>
        <color rgb="FF334155"/>
        <rFont val="Arial"/>
        <family val="2"/>
      </rPr>
      <t xml:space="preserve">, </t>
    </r>
    <r>
      <rPr>
        <sz val="10"/>
        <color rgb="FF334155"/>
        <rFont val="맑은 고딕"/>
        <family val="3"/>
        <charset val="129"/>
      </rPr>
      <t>대상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정책은</t>
    </r>
    <r>
      <rPr>
        <sz val="10"/>
        <color rgb="FF334155"/>
        <rFont val="Arial"/>
        <family val="2"/>
      </rPr>
      <t xml:space="preserve"> UserBehaviorController</t>
    </r>
    <r>
      <rPr>
        <sz val="10"/>
        <color rgb="FF334155"/>
        <rFont val="맑은 고딕"/>
        <family val="3"/>
        <charset val="129"/>
      </rPr>
      <t>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담당함</t>
    </r>
    <phoneticPr fontId="6" type="noConversion"/>
  </si>
  <si>
    <r>
      <rPr>
        <sz val="10"/>
        <color rgb="FF334155"/>
        <rFont val="맑은 고딕"/>
        <family val="3"/>
        <charset val="129"/>
      </rPr>
      <t>영문</t>
    </r>
    <r>
      <rPr>
        <sz val="10"/>
        <color rgb="FF334155"/>
        <rFont val="Arial"/>
        <family val="2"/>
      </rPr>
      <t xml:space="preserve"> code</t>
    </r>
    <r>
      <rPr>
        <sz val="10"/>
        <color rgb="FF334155"/>
        <rFont val="맑은 고딕"/>
        <family val="3"/>
        <charset val="129"/>
      </rPr>
      <t>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함수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Arial"/>
        <family val="2"/>
      </rPr>
      <t>Enum</t>
    </r>
    <r>
      <rPr>
        <sz val="10"/>
        <color rgb="FF334155"/>
        <rFont val="맑은 고딕"/>
        <family val="3"/>
        <charset val="129"/>
      </rPr>
      <t>에서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사용하고</t>
    </r>
    <r>
      <rPr>
        <sz val="10"/>
        <color rgb="FF334155"/>
        <rFont val="Arial"/>
        <family val="2"/>
      </rPr>
      <t xml:space="preserve"> XR-* ID</t>
    </r>
    <r>
      <rPr>
        <sz val="10"/>
        <color rgb="FF334155"/>
        <rFont val="맑은 고딕"/>
        <family val="3"/>
        <charset val="129"/>
      </rPr>
      <t>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저장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교환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로그의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불변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식별자로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사용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</si>
</sst>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1F2937"/>
      <name val="Carlito"/>
    </font>
    <font>
      <b/>
      <sz val="16"/>
      <color rgb="FFFFFFFF"/>
      <name val="Carlito"/>
    </font>
    <font>
      <sz val="10"/>
      <color rgb="FF334155"/>
      <name val="Carlito"/>
    </font>
    <font>
      <b/>
      <sz val="10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rgb="FF334155"/>
      <name val="맑은 고딕"/>
      <family val="2"/>
      <charset val="129"/>
    </font>
    <font>
      <sz val="10"/>
      <color rgb="FF334155"/>
      <name val="맑은 고딕"/>
      <family val="3"/>
      <charset val="129"/>
    </font>
    <font>
      <sz val="10"/>
      <color rgb="FF334155"/>
      <name val="Arial"/>
      <family val="2"/>
    </font>
    <font>
      <sz val="10"/>
      <color rgb="FF334155"/>
      <name val="Carlito"/>
      <family val="3"/>
      <charset val="129"/>
    </font>
    <font>
      <sz val="10"/>
      <color rgb="FF334155"/>
      <name val="Carlito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2F75B5"/>
      </patternFill>
    </fill>
  </fills>
  <borders count="7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 style="thin">
        <color rgb="FF9FBAD0"/>
      </top>
      <bottom style="thin">
        <color rgb="FF9FBAD0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0" xfId="1" applyFont="1"/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4" fillId="4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4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3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4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0" fontId="2" fillId="2" borderId="0" xfId="1" applyFont="1" applyFill="1" applyAlignment="1">
      <alignment vertical="center"/>
    </xf>
    <xf numFmtId="0" fontId="10" fillId="3" borderId="0" xfId="1" applyFont="1" applyFill="1" applyAlignment="1">
      <alignment vertical="center" wrapText="1"/>
    </xf>
    <xf numFmtId="0" fontId="3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5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cticTable" displayName="TacticTable" ref="A4:F16" totalsRowShown="0" dataDxfId="51">
  <autoFilter ref="A4:F16" xr:uid="{00000000-0009-0000-0100-000003000000}"/>
  <tableColumns count="6">
    <tableColumn id="1" xr3:uid="{00000000-0010-0000-0200-000001000000}" name="tactic_id" dataDxfId="50"/>
    <tableColumn id="2" xr3:uid="{00000000-0010-0000-0200-000002000000}" name="code" dataDxfId="49"/>
    <tableColumn id="3" xr3:uid="{00000000-0010-0000-0200-000003000000}" name="명칭" dataDxfId="48"/>
    <tableColumn id="4" xr3:uid="{00000000-0010-0000-0200-000004000000}" name="정의" dataDxfId="47"/>
    <tableColumn id="5" xr3:uid="{00000000-0010-0000-0200-000005000000}" name="적용범위" dataDxfId="46"/>
    <tableColumn id="10" xr3:uid="{00000000-0010-0000-0200-00000A000000}" name="Technique매핑수" dataDxfId="4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chniqueTable" displayName="TechniqueTable" ref="A4:H33" totalsRowShown="0" dataDxfId="44">
  <autoFilter ref="A4:H33" xr:uid="{00000000-0009-0000-0100-000004000000}"/>
  <tableColumns count="8">
    <tableColumn id="1" xr3:uid="{00000000-0010-0000-0300-000001000000}" name="technique_id" dataDxfId="43"/>
    <tableColumn id="2" xr3:uid="{00000000-0010-0000-0300-000002000000}" name="code" dataDxfId="42"/>
    <tableColumn id="3" xr3:uid="{00000000-0010-0000-0300-000003000000}" name="명칭" dataDxfId="41"/>
    <tableColumn id="4" xr3:uid="{00000000-0010-0000-0300-000004000000}" name="정의" dataDxfId="40"/>
    <tableColumn id="5" xr3:uid="{00000000-0010-0000-0300-000005000000}" name="방법분류" dataDxfId="39"/>
    <tableColumn id="6" xr3:uid="{00000000-0010-0000-0300-000006000000}" name="주요 파라미터" dataDxfId="38"/>
    <tableColumn id="11" xr3:uid="{00000000-0010-0000-0300-00000B000000}" name="Tactic매핑수" dataDxfId="37"/>
    <tableColumn id="12" xr3:uid="{00000000-0010-0000-0300-00000C000000}" name="Procedure매핑수" dataDxfId="3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cedureTable" displayName="ProcedureTable" ref="A4:L22" totalsRowShown="0" dataDxfId="35">
  <autoFilter ref="A4:L22" xr:uid="{00000000-0009-0000-0100-000005000000}"/>
  <tableColumns count="12">
    <tableColumn id="1" xr3:uid="{00000000-0010-0000-0400-000001000000}" name="procedure_id" dataDxfId="34"/>
    <tableColumn id="2" xr3:uid="{00000000-0010-0000-0400-000002000000}" name="code" dataDxfId="33"/>
    <tableColumn id="3" xr3:uid="{00000000-0010-0000-0400-000003000000}" name="명칭" dataDxfId="32"/>
    <tableColumn id="4" xr3:uid="{00000000-0010-0000-0400-000004000000}" name="정의" dataDxfId="31"/>
    <tableColumn id="5" xr3:uid="{00000000-0010-0000-0400-000005000000}" name="실행단계" dataDxfId="30"/>
    <tableColumn id="6" xr3:uid="{00000000-0010-0000-0400-000006000000}" name="executor" dataDxfId="29"/>
    <tableColumn id="7" xr3:uid="{00000000-0010-0000-0400-000007000000}" name="parameter_schema" dataDxfId="28"/>
    <tableColumn id="8" xr3:uid="{00000000-0010-0000-0400-000008000000}" name="선행조건" dataDxfId="27"/>
    <tableColumn id="9" xr3:uid="{00000000-0010-0000-0400-000009000000}" name="실행효과" dataDxfId="26"/>
    <tableColumn id="10" xr3:uid="{00000000-0010-0000-0400-00000A000000}" name="멱등성" dataDxfId="25"/>
    <tableColumn id="11" xr3:uid="{00000000-0010-0000-0400-00000B000000}" name="event_type" dataDxfId="24"/>
    <tableColumn id="15" xr3:uid="{00000000-0010-0000-0400-00000F000000}" name="Technique매핑수" dataDxfId="23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cticTechniqueMapTable" displayName="TacticTechniqueMapTable" ref="A4:F100" totalsRowShown="0" dataDxfId="22">
  <autoFilter ref="A4:F100" xr:uid="{00000000-0009-0000-0100-000006000000}"/>
  <tableColumns count="6">
    <tableColumn id="1" xr3:uid="{00000000-0010-0000-0500-000001000000}" name="mapping_id" dataDxfId="21"/>
    <tableColumn id="2" xr3:uid="{00000000-0010-0000-0500-000002000000}" name="tactic_id" dataDxfId="20"/>
    <tableColumn id="3" xr3:uid="{00000000-0010-0000-0500-000003000000}" name="technique_id" dataDxfId="19"/>
    <tableColumn id="4" xr3:uid="{00000000-0010-0000-0500-000004000000}" name="relation_type" dataDxfId="18"/>
    <tableColumn id="5" xr3:uid="{00000000-0010-0000-0500-000005000000}" name="매핑근거" dataDxfId="17"/>
    <tableColumn id="8" xr3:uid="{00000000-0010-0000-0500-000008000000}" name="mapping_key" dataDxfId="16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chniqueProcedureMapTable" displayName="TechniqueProcedureMapTable" ref="A4:G73" totalsRowShown="0" dataDxfId="15">
  <autoFilter ref="A4:G73" xr:uid="{00000000-0009-0000-0100-000007000000}"/>
  <tableColumns count="7">
    <tableColumn id="1" xr3:uid="{00000000-0010-0000-0600-000001000000}" name="mapping_id" dataDxfId="14"/>
    <tableColumn id="2" xr3:uid="{00000000-0010-0000-0600-000002000000}" name="technique_id" dataDxfId="13"/>
    <tableColumn id="3" xr3:uid="{00000000-0010-0000-0600-000003000000}" name="procedure_id" dataDxfId="12"/>
    <tableColumn id="4" xr3:uid="{00000000-0010-0000-0600-000004000000}" name="relation_type" dataDxfId="11"/>
    <tableColumn id="5" xr3:uid="{00000000-0010-0000-0600-000005000000}" name="order_hint" dataDxfId="10"/>
    <tableColumn id="6" xr3:uid="{00000000-0010-0000-0600-000006000000}" name="실행역할" dataDxfId="9"/>
    <tableColumn id="9" xr3:uid="{00000000-0010-0000-0600-000009000000}" name="mapping_key" dataDxfId="8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IntentTable" displayName="ContentIntentTable" ref="A4:G27" totalsRowShown="0" dataDxfId="7">
  <autoFilter ref="A4:G27" xr:uid="{00000000-0009-0000-0100-000009000000}"/>
  <tableColumns count="7">
    <tableColumn id="1" xr3:uid="{00000000-0010-0000-0800-000001000000}" name="content_intent_id" dataDxfId="6"/>
    <tableColumn id="2" xr3:uid="{00000000-0010-0000-0800-000002000000}" name="code" dataDxfId="5"/>
    <tableColumn id="3" xr3:uid="{00000000-0010-0000-0800-000003000000}" name="명칭" dataDxfId="4"/>
    <tableColumn id="4" xr3:uid="{00000000-0010-0000-0800-000004000000}" name="정의" dataDxfId="3"/>
    <tableColumn id="5" xr3:uid="{00000000-0010-0000-0800-000005000000}" name="콘텐츠 슬롯" dataDxfId="2"/>
    <tableColumn id="6" xr3:uid="{00000000-0010-0000-0800-000006000000}" name="연결 Tactic" dataDxfId="1"/>
    <tableColumn id="7" xr3:uid="{00000000-0010-0000-0800-000007000000}" name="권장 Technique" dataDxfId="0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upportPolicyTable" displayName="SupportPolicyTable" ref="A4:H12" totalsRowShown="0">
  <autoFilter ref="A4:H12" xr:uid="{00000000-0009-0000-0100-00000A000000}"/>
  <tableColumns count="8">
    <tableColumn id="1" xr3:uid="{00000000-0010-0000-0900-000001000000}" name="policy_id"/>
    <tableColumn id="2" xr3:uid="{00000000-0010-0000-0900-000002000000}" name="policy_type"/>
    <tableColumn id="3" xr3:uid="{00000000-0010-0000-0900-000003000000}" name="code"/>
    <tableColumn id="4" xr3:uid="{00000000-0010-0000-0900-000004000000}" name="명칭"/>
    <tableColumn id="5" xr3:uid="{00000000-0010-0000-0900-000005000000}" name="정의"/>
    <tableColumn id="6" xr3:uid="{00000000-0010-0000-0900-000006000000}" name="파라미터"/>
    <tableColumn id="7" xr3:uid="{00000000-0010-0000-0900-000007000000}" name="연결 Technique"/>
    <tableColumn id="9" xr3:uid="{00000000-0010-0000-0900-000009000000}" name="담당컴포넌트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deEnumTable" displayName="CodeEnumTable" ref="A4:F63" totalsRowShown="0">
  <autoFilter ref="A4:F63" xr:uid="{00000000-0009-0000-0100-00000B000000}"/>
  <tableColumns count="6">
    <tableColumn id="1" xr3:uid="{00000000-0010-0000-0A00-000001000000}" name="enum_class"/>
    <tableColumn id="2" xr3:uid="{00000000-0010-0000-0A00-000002000000}" name="id"/>
    <tableColumn id="3" xr3:uid="{00000000-0010-0000-0A00-000003000000}" name="code"/>
    <tableColumn id="4" xr3:uid="{00000000-0010-0000-0A00-000004000000}" name="enum_member"/>
    <tableColumn id="5" xr3:uid="{00000000-0010-0000-0A00-000005000000}" name="JSON_key"/>
    <tableColumn id="6" xr3:uid="{00000000-0010-0000-0A00-000006000000}" name="registry_path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tabSelected="1" zoomScaleNormal="100" workbookViewId="0">
      <selection activeCell="D22" sqref="D22"/>
    </sheetView>
  </sheetViews>
  <sheetFormatPr defaultRowHeight="14.25"/>
  <cols>
    <col min="1" max="1" width="22" customWidth="1"/>
    <col min="2" max="2" width="34" customWidth="1"/>
    <col min="3" max="3" width="28" customWidth="1"/>
    <col min="4" max="4" width="72" customWidth="1"/>
    <col min="5" max="5" width="20" customWidth="1"/>
    <col min="6" max="6" width="18" customWidth="1"/>
  </cols>
  <sheetData>
    <row r="1" spans="1:6" ht="30" customHeight="1">
      <c r="A1" s="16" t="s">
        <v>8</v>
      </c>
      <c r="B1" s="16"/>
      <c r="C1" s="16"/>
      <c r="D1" s="16"/>
      <c r="E1" s="16"/>
      <c r="F1" s="16"/>
    </row>
    <row r="2" spans="1:6" ht="38.1" customHeight="1">
      <c r="A2" s="17" t="s">
        <v>908</v>
      </c>
      <c r="B2" s="18"/>
      <c r="C2" s="18"/>
      <c r="D2" s="18"/>
      <c r="E2" s="18"/>
      <c r="F2" s="18"/>
    </row>
    <row r="3" spans="1:6">
      <c r="A3" s="1"/>
      <c r="B3" s="1"/>
      <c r="C3" s="1"/>
      <c r="D3" s="1"/>
      <c r="E3" s="1"/>
      <c r="F3" s="1"/>
    </row>
    <row r="4" spans="1:6" ht="33.950000000000003" customHeight="1">
      <c r="A4" s="2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</row>
    <row r="5" spans="1:6" s="9" customFormat="1" ht="21.95" customHeight="1">
      <c r="A5" s="8" t="s">
        <v>0</v>
      </c>
      <c r="B5" s="8" t="s">
        <v>15</v>
      </c>
      <c r="C5" s="8" t="s">
        <v>16</v>
      </c>
      <c r="D5" s="8" t="s">
        <v>17</v>
      </c>
      <c r="E5" s="8" t="s">
        <v>18</v>
      </c>
      <c r="F5" s="8">
        <f>COUNTIF('04_TA_TE_매핑'!$B$5:$B$500,A5)</f>
        <v>9</v>
      </c>
    </row>
    <row r="6" spans="1:6" s="9" customFormat="1" ht="21.95" customHeight="1">
      <c r="A6" s="10" t="s">
        <v>19</v>
      </c>
      <c r="B6" s="10" t="s">
        <v>20</v>
      </c>
      <c r="C6" s="10" t="s">
        <v>21</v>
      </c>
      <c r="D6" s="10" t="s">
        <v>22</v>
      </c>
      <c r="E6" s="10" t="s">
        <v>18</v>
      </c>
      <c r="F6" s="10">
        <f>COUNTIF('04_TA_TE_매핑'!$B$5:$B$500,A6)</f>
        <v>11</v>
      </c>
    </row>
    <row r="7" spans="1:6" s="9" customFormat="1" ht="21.95" customHeight="1">
      <c r="A7" s="10" t="s">
        <v>23</v>
      </c>
      <c r="B7" s="10" t="s">
        <v>24</v>
      </c>
      <c r="C7" s="10" t="s">
        <v>25</v>
      </c>
      <c r="D7" s="10" t="s">
        <v>26</v>
      </c>
      <c r="E7" s="10" t="s">
        <v>18</v>
      </c>
      <c r="F7" s="10">
        <f>COUNTIF('04_TA_TE_매핑'!$B$5:$B$500,A7)</f>
        <v>13</v>
      </c>
    </row>
    <row r="8" spans="1:6" s="9" customFormat="1" ht="21.95" customHeight="1">
      <c r="A8" s="10" t="s">
        <v>27</v>
      </c>
      <c r="B8" s="10" t="s">
        <v>28</v>
      </c>
      <c r="C8" s="10" t="s">
        <v>29</v>
      </c>
      <c r="D8" s="10" t="s">
        <v>30</v>
      </c>
      <c r="E8" s="10" t="s">
        <v>18</v>
      </c>
      <c r="F8" s="10">
        <f>COUNTIF('04_TA_TE_매핑'!$B$5:$B$500,A8)</f>
        <v>9</v>
      </c>
    </row>
    <row r="9" spans="1:6" s="9" customFormat="1" ht="21.95" customHeight="1">
      <c r="A9" s="10" t="s">
        <v>31</v>
      </c>
      <c r="B9" s="10" t="s">
        <v>32</v>
      </c>
      <c r="C9" s="10" t="s">
        <v>33</v>
      </c>
      <c r="D9" s="10" t="s">
        <v>34</v>
      </c>
      <c r="E9" s="10" t="s">
        <v>18</v>
      </c>
      <c r="F9" s="10">
        <f>COUNTIF('04_TA_TE_매핑'!$B$5:$B$500,A9)</f>
        <v>9</v>
      </c>
    </row>
    <row r="10" spans="1:6" s="9" customFormat="1" ht="21.95" customHeight="1">
      <c r="A10" s="10" t="s">
        <v>35</v>
      </c>
      <c r="B10" s="10" t="s">
        <v>36</v>
      </c>
      <c r="C10" s="10" t="s">
        <v>37</v>
      </c>
      <c r="D10" s="10" t="s">
        <v>38</v>
      </c>
      <c r="E10" s="10" t="s">
        <v>18</v>
      </c>
      <c r="F10" s="10">
        <f>COUNTIF('04_TA_TE_매핑'!$B$5:$B$500,A10)</f>
        <v>6</v>
      </c>
    </row>
    <row r="11" spans="1:6" s="9" customFormat="1" ht="21.95" customHeight="1">
      <c r="A11" s="10" t="s">
        <v>39</v>
      </c>
      <c r="B11" s="10" t="s">
        <v>40</v>
      </c>
      <c r="C11" s="10" t="s">
        <v>41</v>
      </c>
      <c r="D11" s="10" t="s">
        <v>42</v>
      </c>
      <c r="E11" s="10" t="s">
        <v>18</v>
      </c>
      <c r="F11" s="10">
        <f>COUNTIF('04_TA_TE_매핑'!$B$5:$B$500,A11)</f>
        <v>9</v>
      </c>
    </row>
    <row r="12" spans="1:6" s="9" customFormat="1" ht="21.95" customHeight="1">
      <c r="A12" s="10" t="s">
        <v>43</v>
      </c>
      <c r="B12" s="10" t="s">
        <v>44</v>
      </c>
      <c r="C12" s="10" t="s">
        <v>45</v>
      </c>
      <c r="D12" s="10" t="s">
        <v>46</v>
      </c>
      <c r="E12" s="10" t="s">
        <v>18</v>
      </c>
      <c r="F12" s="10">
        <f>COUNTIF('04_TA_TE_매핑'!$B$5:$B$500,A12)</f>
        <v>7</v>
      </c>
    </row>
    <row r="13" spans="1:6" s="9" customFormat="1" ht="21.95" customHeight="1">
      <c r="A13" s="10" t="s">
        <v>47</v>
      </c>
      <c r="B13" s="10" t="s">
        <v>48</v>
      </c>
      <c r="C13" s="10" t="s">
        <v>49</v>
      </c>
      <c r="D13" s="10" t="s">
        <v>50</v>
      </c>
      <c r="E13" s="10" t="s">
        <v>18</v>
      </c>
      <c r="F13" s="10">
        <f>COUNTIF('04_TA_TE_매핑'!$B$5:$B$500,A13)</f>
        <v>8</v>
      </c>
    </row>
    <row r="14" spans="1:6" s="9" customFormat="1" ht="21.95" customHeight="1">
      <c r="A14" s="10" t="s">
        <v>51</v>
      </c>
      <c r="B14" s="10" t="s">
        <v>52</v>
      </c>
      <c r="C14" s="10" t="s">
        <v>53</v>
      </c>
      <c r="D14" s="10" t="s">
        <v>54</v>
      </c>
      <c r="E14" s="10" t="s">
        <v>18</v>
      </c>
      <c r="F14" s="10">
        <f>COUNTIF('04_TA_TE_매핑'!$B$5:$B$500,A14)</f>
        <v>6</v>
      </c>
    </row>
    <row r="15" spans="1:6" s="9" customFormat="1" ht="21.95" customHeight="1">
      <c r="A15" s="10" t="s">
        <v>55</v>
      </c>
      <c r="B15" s="10" t="s">
        <v>56</v>
      </c>
      <c r="C15" s="10" t="s">
        <v>57</v>
      </c>
      <c r="D15" s="10" t="s">
        <v>58</v>
      </c>
      <c r="E15" s="10" t="s">
        <v>18</v>
      </c>
      <c r="F15" s="10">
        <f>COUNTIF('04_TA_TE_매핑'!$B$5:$B$500,A15)</f>
        <v>3</v>
      </c>
    </row>
    <row r="16" spans="1:6" s="9" customFormat="1" ht="27.95" customHeight="1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18</v>
      </c>
      <c r="F16" s="11">
        <f>COUNTIF('04_TA_TE_매핑'!$B$5:$B$500,A16)</f>
        <v>6</v>
      </c>
    </row>
  </sheetData>
  <mergeCells count="2">
    <mergeCell ref="A1:F1"/>
    <mergeCell ref="A2:F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showGridLines="0" zoomScale="85" zoomScaleNormal="85" workbookViewId="0">
      <selection activeCell="I3" sqref="I1:I1048576"/>
    </sheetView>
  </sheetViews>
  <sheetFormatPr defaultRowHeight="14.25"/>
  <cols>
    <col min="1" max="1" width="22" customWidth="1"/>
    <col min="2" max="2" width="36" customWidth="1"/>
    <col min="3" max="3" width="28" customWidth="1"/>
    <col min="4" max="4" width="72" customWidth="1"/>
    <col min="5" max="5" width="18" customWidth="1"/>
    <col min="6" max="6" width="38" customWidth="1"/>
    <col min="7" max="7" width="16" customWidth="1"/>
    <col min="8" max="8" width="18" customWidth="1"/>
  </cols>
  <sheetData>
    <row r="1" spans="1:8" ht="30" customHeight="1">
      <c r="A1" s="16" t="s">
        <v>63</v>
      </c>
      <c r="B1" s="16"/>
      <c r="C1" s="16"/>
      <c r="D1" s="16"/>
      <c r="E1" s="16"/>
      <c r="F1" s="16"/>
      <c r="G1" s="16"/>
      <c r="H1" s="16"/>
    </row>
    <row r="2" spans="1:8" ht="38.1" customHeight="1">
      <c r="A2" s="18" t="s">
        <v>909</v>
      </c>
      <c r="B2" s="18"/>
      <c r="C2" s="18"/>
      <c r="D2" s="18"/>
      <c r="E2" s="18"/>
      <c r="F2" s="18"/>
      <c r="G2" s="18"/>
      <c r="H2" s="18"/>
    </row>
    <row r="3" spans="1:8">
      <c r="A3" s="1"/>
      <c r="B3" s="1"/>
      <c r="C3" s="1"/>
      <c r="D3" s="1"/>
      <c r="E3" s="1"/>
      <c r="F3" s="1"/>
      <c r="G3" s="1"/>
      <c r="H3" s="1"/>
    </row>
    <row r="4" spans="1:8" ht="33.950000000000003" customHeight="1">
      <c r="A4" s="2" t="s">
        <v>64</v>
      </c>
      <c r="B4" s="7" t="s">
        <v>10</v>
      </c>
      <c r="C4" s="7" t="s">
        <v>11</v>
      </c>
      <c r="D4" s="7" t="s">
        <v>12</v>
      </c>
      <c r="E4" s="7" t="s">
        <v>65</v>
      </c>
      <c r="F4" s="7" t="s">
        <v>66</v>
      </c>
      <c r="G4" s="7" t="s">
        <v>67</v>
      </c>
      <c r="H4" s="7" t="s">
        <v>68</v>
      </c>
    </row>
    <row r="5" spans="1:8" s="13" customFormat="1" ht="21.95" customHeight="1">
      <c r="A5" s="12" t="s">
        <v>1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73</v>
      </c>
      <c r="G5" s="12">
        <f>COUNTIF('04_TA_TE_매핑'!$C$5:$C$500,A5)</f>
        <v>4</v>
      </c>
      <c r="H5" s="12">
        <f>COUNTIF('05_TE_PR_매핑'!$B$5:$B$500,A5)</f>
        <v>1</v>
      </c>
    </row>
    <row r="6" spans="1:8" s="13" customFormat="1" ht="21.95" customHeight="1">
      <c r="A6" s="14" t="s">
        <v>74</v>
      </c>
      <c r="B6" s="14" t="s">
        <v>75</v>
      </c>
      <c r="C6" s="14" t="s">
        <v>76</v>
      </c>
      <c r="D6" s="14" t="s">
        <v>77</v>
      </c>
      <c r="E6" s="14" t="s">
        <v>72</v>
      </c>
      <c r="F6" s="14" t="s">
        <v>78</v>
      </c>
      <c r="G6" s="14">
        <f>COUNTIF('04_TA_TE_매핑'!$C$5:$C$500,A6)</f>
        <v>6</v>
      </c>
      <c r="H6" s="14">
        <f>COUNTIF('05_TE_PR_매핑'!$B$5:$B$500,A6)</f>
        <v>3</v>
      </c>
    </row>
    <row r="7" spans="1:8" s="13" customFormat="1" ht="21.95" customHeight="1">
      <c r="A7" s="14" t="s">
        <v>79</v>
      </c>
      <c r="B7" s="14" t="s">
        <v>80</v>
      </c>
      <c r="C7" s="14" t="s">
        <v>81</v>
      </c>
      <c r="D7" s="14" t="s">
        <v>82</v>
      </c>
      <c r="E7" s="14" t="s">
        <v>72</v>
      </c>
      <c r="F7" s="14" t="s">
        <v>83</v>
      </c>
      <c r="G7" s="14">
        <f>COUNTIF('04_TA_TE_매핑'!$C$5:$C$500,A7)</f>
        <v>5</v>
      </c>
      <c r="H7" s="14">
        <f>COUNTIF('05_TE_PR_매핑'!$B$5:$B$500,A7)</f>
        <v>3</v>
      </c>
    </row>
    <row r="8" spans="1:8" s="13" customFormat="1" ht="21.95" customHeight="1">
      <c r="A8" s="14" t="s">
        <v>84</v>
      </c>
      <c r="B8" s="14" t="s">
        <v>85</v>
      </c>
      <c r="C8" s="14" t="s">
        <v>86</v>
      </c>
      <c r="D8" s="14" t="s">
        <v>87</v>
      </c>
      <c r="E8" s="14" t="s">
        <v>72</v>
      </c>
      <c r="F8" s="14" t="s">
        <v>88</v>
      </c>
      <c r="G8" s="14">
        <f>COUNTIF('04_TA_TE_매핑'!$C$5:$C$500,A8)</f>
        <v>3</v>
      </c>
      <c r="H8" s="14">
        <f>COUNTIF('05_TE_PR_매핑'!$B$5:$B$500,A8)</f>
        <v>2</v>
      </c>
    </row>
    <row r="9" spans="1:8" s="13" customFormat="1" ht="21.95" customHeight="1">
      <c r="A9" s="14" t="s">
        <v>90</v>
      </c>
      <c r="B9" s="14" t="s">
        <v>91</v>
      </c>
      <c r="C9" s="14" t="s">
        <v>92</v>
      </c>
      <c r="D9" s="14" t="s">
        <v>93</v>
      </c>
      <c r="E9" s="14" t="s">
        <v>94</v>
      </c>
      <c r="F9" s="14" t="s">
        <v>95</v>
      </c>
      <c r="G9" s="14">
        <f>COUNTIF('04_TA_TE_매핑'!$C$5:$C$500,A9)</f>
        <v>2</v>
      </c>
      <c r="H9" s="14">
        <f>COUNTIF('05_TE_PR_매핑'!$B$5:$B$500,A9)</f>
        <v>2</v>
      </c>
    </row>
    <row r="10" spans="1:8" s="13" customFormat="1" ht="21.95" customHeight="1">
      <c r="A10" s="14" t="s">
        <v>96</v>
      </c>
      <c r="B10" s="14" t="s">
        <v>97</v>
      </c>
      <c r="C10" s="14" t="s">
        <v>98</v>
      </c>
      <c r="D10" s="14" t="s">
        <v>99</v>
      </c>
      <c r="E10" s="14" t="s">
        <v>100</v>
      </c>
      <c r="F10" s="14" t="s">
        <v>101</v>
      </c>
      <c r="G10" s="14">
        <f>COUNTIF('04_TA_TE_매핑'!$C$5:$C$500,A10)</f>
        <v>2</v>
      </c>
      <c r="H10" s="14">
        <f>COUNTIF('05_TE_PR_매핑'!$B$5:$B$500,A10)</f>
        <v>3</v>
      </c>
    </row>
    <row r="11" spans="1:8" s="13" customFormat="1" ht="21.95" customHeight="1">
      <c r="A11" s="14" t="s">
        <v>102</v>
      </c>
      <c r="B11" s="14" t="s">
        <v>103</v>
      </c>
      <c r="C11" s="14" t="s">
        <v>104</v>
      </c>
      <c r="D11" s="14" t="s">
        <v>105</v>
      </c>
      <c r="E11" s="14" t="s">
        <v>100</v>
      </c>
      <c r="F11" s="14" t="s">
        <v>106</v>
      </c>
      <c r="G11" s="14">
        <f>COUNTIF('04_TA_TE_매핑'!$C$5:$C$500,A11)</f>
        <v>2</v>
      </c>
      <c r="H11" s="14">
        <f>COUNTIF('05_TE_PR_매핑'!$B$5:$B$500,A11)</f>
        <v>3</v>
      </c>
    </row>
    <row r="12" spans="1:8" s="13" customFormat="1" ht="21.95" customHeight="1">
      <c r="A12" s="14" t="s">
        <v>107</v>
      </c>
      <c r="B12" s="14" t="s">
        <v>108</v>
      </c>
      <c r="C12" s="14" t="s">
        <v>109</v>
      </c>
      <c r="D12" s="14" t="s">
        <v>110</v>
      </c>
      <c r="E12" s="14" t="s">
        <v>111</v>
      </c>
      <c r="F12" s="14" t="s">
        <v>112</v>
      </c>
      <c r="G12" s="14">
        <f>COUNTIF('04_TA_TE_매핑'!$C$5:$C$500,A12)</f>
        <v>3</v>
      </c>
      <c r="H12" s="14">
        <f>COUNTIF('05_TE_PR_매핑'!$B$5:$B$500,A12)</f>
        <v>2</v>
      </c>
    </row>
    <row r="13" spans="1:8" s="13" customFormat="1" ht="21.95" customHeight="1">
      <c r="A13" s="14" t="s">
        <v>113</v>
      </c>
      <c r="B13" s="14" t="s">
        <v>114</v>
      </c>
      <c r="C13" s="14" t="s">
        <v>115</v>
      </c>
      <c r="D13" s="14" t="s">
        <v>116</v>
      </c>
      <c r="E13" s="14" t="s">
        <v>111</v>
      </c>
      <c r="F13" s="14" t="s">
        <v>117</v>
      </c>
      <c r="G13" s="14">
        <f>COUNTIF('04_TA_TE_매핑'!$C$5:$C$500,A13)</f>
        <v>3</v>
      </c>
      <c r="H13" s="14">
        <f>COUNTIF('05_TE_PR_매핑'!$B$5:$B$500,A13)</f>
        <v>2</v>
      </c>
    </row>
    <row r="14" spans="1:8" s="13" customFormat="1" ht="21.95" customHeight="1">
      <c r="A14" s="14" t="s">
        <v>118</v>
      </c>
      <c r="B14" s="14" t="s">
        <v>119</v>
      </c>
      <c r="C14" s="14" t="s">
        <v>120</v>
      </c>
      <c r="D14" s="14" t="s">
        <v>121</v>
      </c>
      <c r="E14" s="14" t="s">
        <v>111</v>
      </c>
      <c r="F14" s="14" t="s">
        <v>122</v>
      </c>
      <c r="G14" s="14">
        <f>COUNTIF('04_TA_TE_매핑'!$C$5:$C$500,A14)</f>
        <v>2</v>
      </c>
      <c r="H14" s="14">
        <f>COUNTIF('05_TE_PR_매핑'!$B$5:$B$500,A14)</f>
        <v>3</v>
      </c>
    </row>
    <row r="15" spans="1:8" s="13" customFormat="1" ht="21.95" customHeight="1">
      <c r="A15" s="14" t="s">
        <v>123</v>
      </c>
      <c r="B15" s="14" t="s">
        <v>124</v>
      </c>
      <c r="C15" s="14" t="s">
        <v>125</v>
      </c>
      <c r="D15" s="14" t="s">
        <v>126</v>
      </c>
      <c r="E15" s="14" t="s">
        <v>127</v>
      </c>
      <c r="F15" s="14" t="s">
        <v>128</v>
      </c>
      <c r="G15" s="14">
        <f>COUNTIF('04_TA_TE_매핑'!$C$5:$C$500,A15)</f>
        <v>6</v>
      </c>
      <c r="H15" s="14">
        <f>COUNTIF('05_TE_PR_매핑'!$B$5:$B$500,A15)</f>
        <v>3</v>
      </c>
    </row>
    <row r="16" spans="1:8" s="13" customFormat="1" ht="21.95" customHeight="1">
      <c r="A16" s="14" t="s">
        <v>129</v>
      </c>
      <c r="B16" s="14" t="s">
        <v>130</v>
      </c>
      <c r="C16" s="14" t="s">
        <v>131</v>
      </c>
      <c r="D16" s="14" t="s">
        <v>132</v>
      </c>
      <c r="E16" s="14" t="s">
        <v>127</v>
      </c>
      <c r="F16" s="14" t="s">
        <v>133</v>
      </c>
      <c r="G16" s="14">
        <f>COUNTIF('04_TA_TE_매핑'!$C$5:$C$500,A16)</f>
        <v>5</v>
      </c>
      <c r="H16" s="14">
        <f>COUNTIF('05_TE_PR_매핑'!$B$5:$B$500,A16)</f>
        <v>1</v>
      </c>
    </row>
    <row r="17" spans="1:8" s="13" customFormat="1" ht="21.95" customHeight="1">
      <c r="A17" s="14" t="s">
        <v>134</v>
      </c>
      <c r="B17" s="14" t="s">
        <v>135</v>
      </c>
      <c r="C17" s="14" t="s">
        <v>136</v>
      </c>
      <c r="D17" s="14" t="s">
        <v>137</v>
      </c>
      <c r="E17" s="14" t="s">
        <v>127</v>
      </c>
      <c r="F17" s="14" t="s">
        <v>138</v>
      </c>
      <c r="G17" s="14">
        <f>COUNTIF('04_TA_TE_매핑'!$C$5:$C$500,A17)</f>
        <v>3</v>
      </c>
      <c r="H17" s="14">
        <f>COUNTIF('05_TE_PR_매핑'!$B$5:$B$500,A17)</f>
        <v>1</v>
      </c>
    </row>
    <row r="18" spans="1:8" s="13" customFormat="1" ht="21.95" customHeight="1">
      <c r="A18" s="14" t="s">
        <v>139</v>
      </c>
      <c r="B18" s="14" t="s">
        <v>140</v>
      </c>
      <c r="C18" s="14" t="s">
        <v>141</v>
      </c>
      <c r="D18" s="14" t="s">
        <v>142</v>
      </c>
      <c r="E18" s="14" t="s">
        <v>143</v>
      </c>
      <c r="F18" s="14" t="s">
        <v>144</v>
      </c>
      <c r="G18" s="14">
        <f>COUNTIF('04_TA_TE_매핑'!$C$5:$C$500,A18)</f>
        <v>2</v>
      </c>
      <c r="H18" s="14">
        <f>COUNTIF('05_TE_PR_매핑'!$B$5:$B$500,A18)</f>
        <v>2</v>
      </c>
    </row>
    <row r="19" spans="1:8" s="13" customFormat="1" ht="21.95" customHeight="1">
      <c r="A19" s="14" t="s">
        <v>145</v>
      </c>
      <c r="B19" s="14" t="s">
        <v>146</v>
      </c>
      <c r="C19" s="14" t="s">
        <v>147</v>
      </c>
      <c r="D19" s="14" t="s">
        <v>148</v>
      </c>
      <c r="E19" s="14" t="s">
        <v>149</v>
      </c>
      <c r="F19" s="14" t="s">
        <v>150</v>
      </c>
      <c r="G19" s="14">
        <f>COUNTIF('04_TA_TE_매핑'!$C$5:$C$500,A19)</f>
        <v>7</v>
      </c>
      <c r="H19" s="14">
        <f>COUNTIF('05_TE_PR_매핑'!$B$5:$B$500,A19)</f>
        <v>4</v>
      </c>
    </row>
    <row r="20" spans="1:8" s="13" customFormat="1" ht="21.95" customHeight="1">
      <c r="A20" s="14" t="s">
        <v>151</v>
      </c>
      <c r="B20" s="14" t="s">
        <v>152</v>
      </c>
      <c r="C20" s="14" t="s">
        <v>153</v>
      </c>
      <c r="D20" s="14" t="s">
        <v>154</v>
      </c>
      <c r="E20" s="14" t="s">
        <v>155</v>
      </c>
      <c r="F20" s="14" t="s">
        <v>156</v>
      </c>
      <c r="G20" s="14">
        <f>COUNTIF('04_TA_TE_매핑'!$C$5:$C$500,A20)</f>
        <v>5</v>
      </c>
      <c r="H20" s="14">
        <f>COUNTIF('05_TE_PR_매핑'!$B$5:$B$500,A20)</f>
        <v>1</v>
      </c>
    </row>
    <row r="21" spans="1:8" s="13" customFormat="1" ht="21.95" customHeight="1">
      <c r="A21" s="14" t="s">
        <v>157</v>
      </c>
      <c r="B21" s="14" t="s">
        <v>158</v>
      </c>
      <c r="C21" s="14" t="s">
        <v>159</v>
      </c>
      <c r="D21" s="14" t="s">
        <v>160</v>
      </c>
      <c r="E21" s="14" t="s">
        <v>155</v>
      </c>
      <c r="F21" s="14" t="s">
        <v>156</v>
      </c>
      <c r="G21" s="14">
        <f>COUNTIF('04_TA_TE_매핑'!$C$5:$C$500,A21)</f>
        <v>3</v>
      </c>
      <c r="H21" s="14">
        <f>COUNTIF('05_TE_PR_매핑'!$B$5:$B$500,A21)</f>
        <v>1</v>
      </c>
    </row>
    <row r="22" spans="1:8" s="13" customFormat="1" ht="21.95" customHeight="1">
      <c r="A22" s="14" t="s">
        <v>161</v>
      </c>
      <c r="B22" s="14" t="s">
        <v>162</v>
      </c>
      <c r="C22" s="14" t="s">
        <v>163</v>
      </c>
      <c r="D22" s="14" t="s">
        <v>164</v>
      </c>
      <c r="E22" s="14" t="s">
        <v>165</v>
      </c>
      <c r="F22" s="14" t="s">
        <v>166</v>
      </c>
      <c r="G22" s="14">
        <f>COUNTIF('04_TA_TE_매핑'!$C$5:$C$500,A22)</f>
        <v>4</v>
      </c>
      <c r="H22" s="14">
        <f>COUNTIF('05_TE_PR_매핑'!$B$5:$B$500,A22)</f>
        <v>3</v>
      </c>
    </row>
    <row r="23" spans="1:8" s="13" customFormat="1" ht="21.95" customHeight="1">
      <c r="A23" s="14" t="s">
        <v>167</v>
      </c>
      <c r="B23" s="14" t="s">
        <v>168</v>
      </c>
      <c r="C23" s="14" t="s">
        <v>169</v>
      </c>
      <c r="D23" s="14" t="s">
        <v>170</v>
      </c>
      <c r="E23" s="14" t="s">
        <v>111</v>
      </c>
      <c r="F23" s="14" t="s">
        <v>171</v>
      </c>
      <c r="G23" s="14">
        <f>COUNTIF('04_TA_TE_매핑'!$C$5:$C$500,A23)</f>
        <v>3</v>
      </c>
      <c r="H23" s="14">
        <f>COUNTIF('05_TE_PR_매핑'!$B$5:$B$500,A23)</f>
        <v>4</v>
      </c>
    </row>
    <row r="24" spans="1:8" s="13" customFormat="1" ht="21.95" customHeight="1">
      <c r="A24" s="14" t="s">
        <v>172</v>
      </c>
      <c r="B24" s="14" t="s">
        <v>173</v>
      </c>
      <c r="C24" s="14" t="s">
        <v>174</v>
      </c>
      <c r="D24" s="14" t="s">
        <v>175</v>
      </c>
      <c r="E24" s="14" t="s">
        <v>149</v>
      </c>
      <c r="F24" s="14" t="s">
        <v>150</v>
      </c>
      <c r="G24" s="14">
        <f>COUNTIF('04_TA_TE_매핑'!$C$5:$C$500,A24)</f>
        <v>1</v>
      </c>
      <c r="H24" s="14">
        <f>COUNTIF('05_TE_PR_매핑'!$B$5:$B$500,A24)</f>
        <v>1</v>
      </c>
    </row>
    <row r="25" spans="1:8" s="13" customFormat="1" ht="21.95" customHeight="1">
      <c r="A25" s="14" t="s">
        <v>176</v>
      </c>
      <c r="B25" s="14" t="s">
        <v>177</v>
      </c>
      <c r="C25" s="14" t="s">
        <v>178</v>
      </c>
      <c r="D25" s="14" t="s">
        <v>179</v>
      </c>
      <c r="E25" s="14" t="s">
        <v>149</v>
      </c>
      <c r="F25" s="14" t="s">
        <v>180</v>
      </c>
      <c r="G25" s="14">
        <f>COUNTIF('04_TA_TE_매핑'!$C$5:$C$500,A25)</f>
        <v>1</v>
      </c>
      <c r="H25" s="14">
        <f>COUNTIF('05_TE_PR_매핑'!$B$5:$B$500,A25)</f>
        <v>3</v>
      </c>
    </row>
    <row r="26" spans="1:8" s="13" customFormat="1" ht="21.95" customHeight="1">
      <c r="A26" s="14" t="s">
        <v>181</v>
      </c>
      <c r="B26" s="14" t="s">
        <v>182</v>
      </c>
      <c r="C26" s="14" t="s">
        <v>183</v>
      </c>
      <c r="D26" s="14" t="s">
        <v>184</v>
      </c>
      <c r="E26" s="14" t="s">
        <v>185</v>
      </c>
      <c r="F26" s="14" t="s">
        <v>186</v>
      </c>
      <c r="G26" s="14">
        <f>COUNTIF('04_TA_TE_매핑'!$C$5:$C$500,A26)</f>
        <v>4</v>
      </c>
      <c r="H26" s="14">
        <f>COUNTIF('05_TE_PR_매핑'!$B$5:$B$500,A26)</f>
        <v>1</v>
      </c>
    </row>
    <row r="27" spans="1:8" s="13" customFormat="1" ht="21.95" customHeight="1">
      <c r="A27" s="14" t="s">
        <v>188</v>
      </c>
      <c r="B27" s="14" t="s">
        <v>189</v>
      </c>
      <c r="C27" s="14" t="s">
        <v>190</v>
      </c>
      <c r="D27" s="14" t="s">
        <v>191</v>
      </c>
      <c r="E27" s="14" t="s">
        <v>192</v>
      </c>
      <c r="F27" s="14" t="s">
        <v>193</v>
      </c>
      <c r="G27" s="14">
        <f>COUNTIF('04_TA_TE_매핑'!$C$5:$C$500,A27)</f>
        <v>4</v>
      </c>
      <c r="H27" s="14">
        <f>COUNTIF('05_TE_PR_매핑'!$B$5:$B$500,A27)</f>
        <v>3</v>
      </c>
    </row>
    <row r="28" spans="1:8" s="13" customFormat="1" ht="21.95" customHeight="1">
      <c r="A28" s="14" t="s">
        <v>194</v>
      </c>
      <c r="B28" s="14" t="s">
        <v>195</v>
      </c>
      <c r="C28" s="14" t="s">
        <v>196</v>
      </c>
      <c r="D28" s="14" t="s">
        <v>197</v>
      </c>
      <c r="E28" s="14" t="s">
        <v>165</v>
      </c>
      <c r="F28" s="14" t="s">
        <v>198</v>
      </c>
      <c r="G28" s="14">
        <f>COUNTIF('04_TA_TE_매핑'!$C$5:$C$500,A28)</f>
        <v>3</v>
      </c>
      <c r="H28" s="14">
        <f>COUNTIF('05_TE_PR_매핑'!$B$5:$B$500,A28)</f>
        <v>2</v>
      </c>
    </row>
    <row r="29" spans="1:8" s="13" customFormat="1" ht="21.95" customHeight="1">
      <c r="A29" s="14" t="s">
        <v>199</v>
      </c>
      <c r="B29" s="14" t="s">
        <v>200</v>
      </c>
      <c r="C29" s="14" t="s">
        <v>201</v>
      </c>
      <c r="D29" s="14" t="s">
        <v>202</v>
      </c>
      <c r="E29" s="14" t="s">
        <v>203</v>
      </c>
      <c r="F29" s="14" t="s">
        <v>204</v>
      </c>
      <c r="G29" s="14">
        <f>COUNTIF('04_TA_TE_매핑'!$C$5:$C$500,A29)</f>
        <v>2</v>
      </c>
      <c r="H29" s="14">
        <f>COUNTIF('05_TE_PR_매핑'!$B$5:$B$500,A29)</f>
        <v>3</v>
      </c>
    </row>
    <row r="30" spans="1:8" s="13" customFormat="1" ht="21.95" customHeight="1">
      <c r="A30" s="14" t="s">
        <v>205</v>
      </c>
      <c r="B30" s="14" t="s">
        <v>206</v>
      </c>
      <c r="C30" s="14" t="s">
        <v>207</v>
      </c>
      <c r="D30" s="14" t="s">
        <v>208</v>
      </c>
      <c r="E30" s="14" t="s">
        <v>209</v>
      </c>
      <c r="F30" s="14" t="s">
        <v>210</v>
      </c>
      <c r="G30" s="14">
        <f>COUNTIF('04_TA_TE_매핑'!$C$5:$C$500,A30)</f>
        <v>3</v>
      </c>
      <c r="H30" s="14">
        <f>COUNTIF('05_TE_PR_매핑'!$B$5:$B$500,A30)</f>
        <v>2</v>
      </c>
    </row>
    <row r="31" spans="1:8" s="13" customFormat="1" ht="21.95" customHeight="1">
      <c r="A31" s="14" t="s">
        <v>211</v>
      </c>
      <c r="B31" s="14" t="s">
        <v>212</v>
      </c>
      <c r="C31" s="14" t="s">
        <v>213</v>
      </c>
      <c r="D31" s="14" t="s">
        <v>214</v>
      </c>
      <c r="E31" s="14" t="s">
        <v>209</v>
      </c>
      <c r="F31" s="14" t="s">
        <v>215</v>
      </c>
      <c r="G31" s="14">
        <f>COUNTIF('04_TA_TE_매핑'!$C$5:$C$500,A31)</f>
        <v>3</v>
      </c>
      <c r="H31" s="14">
        <f>COUNTIF('05_TE_PR_매핑'!$B$5:$B$500,A31)</f>
        <v>1</v>
      </c>
    </row>
    <row r="32" spans="1:8" s="13" customFormat="1" ht="21.95" customHeight="1">
      <c r="A32" s="14" t="s">
        <v>216</v>
      </c>
      <c r="B32" s="14" t="s">
        <v>217</v>
      </c>
      <c r="C32" s="14" t="s">
        <v>218</v>
      </c>
      <c r="D32" s="14" t="s">
        <v>219</v>
      </c>
      <c r="E32" s="14" t="s">
        <v>220</v>
      </c>
      <c r="F32" s="14" t="s">
        <v>221</v>
      </c>
      <c r="G32" s="14">
        <f>COUNTIF('04_TA_TE_매핑'!$C$5:$C$500,A32)</f>
        <v>4</v>
      </c>
      <c r="H32" s="14">
        <f>COUNTIF('05_TE_PR_매핑'!$B$5:$B$500,A32)</f>
        <v>5</v>
      </c>
    </row>
    <row r="33" spans="1:8" s="13" customFormat="1" ht="21.95" customHeight="1">
      <c r="A33" s="15" t="s">
        <v>222</v>
      </c>
      <c r="B33" s="15" t="s">
        <v>223</v>
      </c>
      <c r="C33" s="15" t="s">
        <v>224</v>
      </c>
      <c r="D33" s="15" t="s">
        <v>225</v>
      </c>
      <c r="E33" s="15" t="s">
        <v>165</v>
      </c>
      <c r="F33" s="15" t="s">
        <v>226</v>
      </c>
      <c r="G33" s="15">
        <f>COUNTIF('04_TA_TE_매핑'!$C$5:$C$500,A33)</f>
        <v>1</v>
      </c>
      <c r="H33" s="15">
        <f>COUNTIF('05_TE_PR_매핑'!$B$5:$B$500,A33)</f>
        <v>4</v>
      </c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showGridLines="0" topLeftCell="F1" zoomScale="85" zoomScaleNormal="85" workbookViewId="0">
      <selection activeCell="J30" sqref="J30"/>
    </sheetView>
  </sheetViews>
  <sheetFormatPr defaultRowHeight="14.25"/>
  <cols>
    <col min="1" max="1" width="22" customWidth="1"/>
    <col min="2" max="2" width="34" customWidth="1"/>
    <col min="3" max="3" width="28" customWidth="1"/>
    <col min="4" max="4" width="72.5" customWidth="1"/>
    <col min="5" max="5" width="18" customWidth="1"/>
    <col min="6" max="6" width="42" customWidth="1"/>
    <col min="7" max="7" width="70" customWidth="1"/>
    <col min="8" max="9" width="45" customWidth="1"/>
    <col min="10" max="10" width="28.375" customWidth="1"/>
    <col min="11" max="11" width="30" customWidth="1"/>
    <col min="12" max="12" width="18" customWidth="1"/>
  </cols>
  <sheetData>
    <row r="1" spans="1:12" ht="30" customHeight="1">
      <c r="A1" s="16" t="s">
        <v>227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8.1" customHeight="1">
      <c r="A2" s="17" t="s">
        <v>910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33.950000000000003" customHeight="1">
      <c r="A4" s="2" t="s">
        <v>228</v>
      </c>
      <c r="B4" s="7" t="s">
        <v>10</v>
      </c>
      <c r="C4" s="7" t="s">
        <v>11</v>
      </c>
      <c r="D4" s="7" t="s">
        <v>12</v>
      </c>
      <c r="E4" s="7" t="s">
        <v>229</v>
      </c>
      <c r="F4" s="7" t="s">
        <v>230</v>
      </c>
      <c r="G4" s="7" t="s">
        <v>231</v>
      </c>
      <c r="H4" s="7" t="s">
        <v>232</v>
      </c>
      <c r="I4" s="7" t="s">
        <v>233</v>
      </c>
      <c r="J4" s="7" t="s">
        <v>234</v>
      </c>
      <c r="K4" s="7" t="s">
        <v>235</v>
      </c>
      <c r="L4" s="7" t="s">
        <v>14</v>
      </c>
    </row>
    <row r="5" spans="1:12" ht="21.95" customHeight="1">
      <c r="A5" s="8" t="s">
        <v>2</v>
      </c>
      <c r="B5" s="8" t="s">
        <v>236</v>
      </c>
      <c r="C5" s="8" t="s">
        <v>237</v>
      </c>
      <c r="D5" s="8" t="s">
        <v>238</v>
      </c>
      <c r="E5" s="8" t="s">
        <v>239</v>
      </c>
      <c r="F5" s="8" t="s">
        <v>240</v>
      </c>
      <c r="G5" s="8" t="s">
        <v>241</v>
      </c>
      <c r="H5" s="8" t="s">
        <v>242</v>
      </c>
      <c r="I5" s="8" t="s">
        <v>243</v>
      </c>
      <c r="J5" s="8" t="s">
        <v>244</v>
      </c>
      <c r="K5" s="8" t="s">
        <v>245</v>
      </c>
      <c r="L5" s="8">
        <f>COUNTIF('05_TE_PR_매핑'!$C$5:$C$500,A5)</f>
        <v>2</v>
      </c>
    </row>
    <row r="6" spans="1:12" ht="21.95" customHeight="1">
      <c r="A6" s="10" t="s">
        <v>246</v>
      </c>
      <c r="B6" s="10" t="s">
        <v>247</v>
      </c>
      <c r="C6" s="10" t="s">
        <v>248</v>
      </c>
      <c r="D6" s="10" t="s">
        <v>249</v>
      </c>
      <c r="E6" s="10" t="s">
        <v>239</v>
      </c>
      <c r="F6" s="10" t="s">
        <v>250</v>
      </c>
      <c r="G6" s="10" t="s">
        <v>251</v>
      </c>
      <c r="H6" s="10" t="s">
        <v>252</v>
      </c>
      <c r="I6" s="10" t="s">
        <v>253</v>
      </c>
      <c r="J6" s="10" t="s">
        <v>244</v>
      </c>
      <c r="K6" s="10" t="s">
        <v>254</v>
      </c>
      <c r="L6" s="10">
        <f>COUNTIF('05_TE_PR_매핑'!$C$5:$C$500,A6)</f>
        <v>1</v>
      </c>
    </row>
    <row r="7" spans="1:12" ht="21.95" customHeight="1">
      <c r="A7" s="10" t="s">
        <v>255</v>
      </c>
      <c r="B7" s="10" t="s">
        <v>256</v>
      </c>
      <c r="C7" s="10" t="s">
        <v>257</v>
      </c>
      <c r="D7" s="10" t="s">
        <v>258</v>
      </c>
      <c r="E7" s="10" t="s">
        <v>239</v>
      </c>
      <c r="F7" s="10" t="s">
        <v>259</v>
      </c>
      <c r="G7" s="10" t="s">
        <v>260</v>
      </c>
      <c r="H7" s="10" t="s">
        <v>261</v>
      </c>
      <c r="I7" s="10" t="s">
        <v>262</v>
      </c>
      <c r="J7" s="10" t="s">
        <v>244</v>
      </c>
      <c r="K7" s="10" t="s">
        <v>263</v>
      </c>
      <c r="L7" s="10">
        <f>COUNTIF('05_TE_PR_매핑'!$C$5:$C$500,A7)</f>
        <v>3</v>
      </c>
    </row>
    <row r="8" spans="1:12" ht="21.95" customHeight="1">
      <c r="A8" s="10" t="s">
        <v>264</v>
      </c>
      <c r="B8" s="10" t="s">
        <v>265</v>
      </c>
      <c r="C8" s="10" t="s">
        <v>266</v>
      </c>
      <c r="D8" s="10" t="s">
        <v>267</v>
      </c>
      <c r="E8" s="10" t="s">
        <v>268</v>
      </c>
      <c r="F8" s="10" t="s">
        <v>269</v>
      </c>
      <c r="G8" s="10" t="s">
        <v>260</v>
      </c>
      <c r="H8" s="10" t="s">
        <v>270</v>
      </c>
      <c r="I8" s="10" t="s">
        <v>271</v>
      </c>
      <c r="J8" s="10" t="s">
        <v>272</v>
      </c>
      <c r="K8" s="10" t="s">
        <v>273</v>
      </c>
      <c r="L8" s="10">
        <f>COUNTIF('05_TE_PR_매핑'!$C$5:$C$500,A8)</f>
        <v>2</v>
      </c>
    </row>
    <row r="9" spans="1:12" ht="21.95" customHeight="1">
      <c r="A9" s="10" t="s">
        <v>274</v>
      </c>
      <c r="B9" s="10" t="s">
        <v>275</v>
      </c>
      <c r="C9" s="10" t="s">
        <v>276</v>
      </c>
      <c r="D9" s="10" t="s">
        <v>277</v>
      </c>
      <c r="E9" s="10" t="s">
        <v>239</v>
      </c>
      <c r="F9" s="10" t="s">
        <v>278</v>
      </c>
      <c r="G9" s="10" t="s">
        <v>279</v>
      </c>
      <c r="H9" s="10" t="s">
        <v>280</v>
      </c>
      <c r="I9" s="10" t="s">
        <v>281</v>
      </c>
      <c r="J9" s="10" t="s">
        <v>282</v>
      </c>
      <c r="K9" s="10" t="s">
        <v>283</v>
      </c>
      <c r="L9" s="10">
        <f>COUNTIF('05_TE_PR_매핑'!$C$5:$C$500,A9)</f>
        <v>1</v>
      </c>
    </row>
    <row r="10" spans="1:12" ht="21.95" customHeight="1">
      <c r="A10" s="10" t="s">
        <v>284</v>
      </c>
      <c r="B10" s="10" t="s">
        <v>285</v>
      </c>
      <c r="C10" s="10" t="s">
        <v>286</v>
      </c>
      <c r="D10" s="10" t="s">
        <v>287</v>
      </c>
      <c r="E10" s="10" t="s">
        <v>288</v>
      </c>
      <c r="F10" s="10" t="s">
        <v>289</v>
      </c>
      <c r="G10" s="10" t="s">
        <v>290</v>
      </c>
      <c r="H10" s="10" t="s">
        <v>291</v>
      </c>
      <c r="I10" s="10" t="s">
        <v>292</v>
      </c>
      <c r="J10" s="10" t="s">
        <v>293</v>
      </c>
      <c r="K10" s="10" t="s">
        <v>294</v>
      </c>
      <c r="L10" s="10">
        <f>COUNTIF('05_TE_PR_매핑'!$C$5:$C$500,A10)</f>
        <v>21</v>
      </c>
    </row>
    <row r="11" spans="1:12" ht="21.95" customHeight="1">
      <c r="A11" s="10" t="s">
        <v>295</v>
      </c>
      <c r="B11" s="10" t="s">
        <v>296</v>
      </c>
      <c r="C11" s="10" t="s">
        <v>297</v>
      </c>
      <c r="D11" s="10" t="s">
        <v>298</v>
      </c>
      <c r="E11" s="10" t="s">
        <v>288</v>
      </c>
      <c r="F11" s="10" t="s">
        <v>299</v>
      </c>
      <c r="G11" s="10" t="s">
        <v>300</v>
      </c>
      <c r="H11" s="10" t="s">
        <v>301</v>
      </c>
      <c r="I11" s="10" t="s">
        <v>302</v>
      </c>
      <c r="J11" s="10" t="s">
        <v>303</v>
      </c>
      <c r="K11" s="10" t="s">
        <v>304</v>
      </c>
      <c r="L11" s="10">
        <f>COUNTIF('05_TE_PR_매핑'!$C$5:$C$500,A11)</f>
        <v>6</v>
      </c>
    </row>
    <row r="12" spans="1:12" ht="21.95" customHeight="1">
      <c r="A12" s="10" t="s">
        <v>305</v>
      </c>
      <c r="B12" s="10" t="s">
        <v>306</v>
      </c>
      <c r="C12" s="10" t="s">
        <v>307</v>
      </c>
      <c r="D12" s="10" t="s">
        <v>308</v>
      </c>
      <c r="E12" s="10" t="s">
        <v>288</v>
      </c>
      <c r="F12" s="10" t="s">
        <v>309</v>
      </c>
      <c r="G12" s="10" t="s">
        <v>310</v>
      </c>
      <c r="H12" s="10" t="s">
        <v>311</v>
      </c>
      <c r="I12" s="10" t="s">
        <v>302</v>
      </c>
      <c r="J12" s="10" t="s">
        <v>303</v>
      </c>
      <c r="K12" s="10" t="s">
        <v>312</v>
      </c>
      <c r="L12" s="10">
        <f>COUNTIF('05_TE_PR_매핑'!$C$5:$C$500,A12)</f>
        <v>5</v>
      </c>
    </row>
    <row r="13" spans="1:12" ht="21.95" customHeight="1">
      <c r="A13" s="10" t="s">
        <v>313</v>
      </c>
      <c r="B13" s="10" t="s">
        <v>314</v>
      </c>
      <c r="C13" s="10" t="s">
        <v>89</v>
      </c>
      <c r="D13" s="10" t="s">
        <v>315</v>
      </c>
      <c r="E13" s="10" t="s">
        <v>288</v>
      </c>
      <c r="F13" s="10" t="s">
        <v>316</v>
      </c>
      <c r="G13" s="10" t="s">
        <v>317</v>
      </c>
      <c r="H13" s="10" t="s">
        <v>318</v>
      </c>
      <c r="I13" s="10" t="s">
        <v>319</v>
      </c>
      <c r="J13" s="10" t="s">
        <v>320</v>
      </c>
      <c r="K13" s="10" t="s">
        <v>321</v>
      </c>
      <c r="L13" s="10">
        <f>COUNTIF('05_TE_PR_매핑'!$C$5:$C$500,A13)</f>
        <v>3</v>
      </c>
    </row>
    <row r="14" spans="1:12" ht="21.95" customHeight="1">
      <c r="A14" s="10" t="s">
        <v>322</v>
      </c>
      <c r="B14" s="10" t="s">
        <v>323</v>
      </c>
      <c r="C14" s="10" t="s">
        <v>187</v>
      </c>
      <c r="D14" s="10" t="s">
        <v>324</v>
      </c>
      <c r="E14" s="10" t="s">
        <v>288</v>
      </c>
      <c r="F14" s="10" t="s">
        <v>325</v>
      </c>
      <c r="G14" s="10" t="s">
        <v>326</v>
      </c>
      <c r="H14" s="10" t="s">
        <v>327</v>
      </c>
      <c r="I14" s="10" t="s">
        <v>328</v>
      </c>
      <c r="J14" s="10" t="s">
        <v>329</v>
      </c>
      <c r="K14" s="10" t="s">
        <v>330</v>
      </c>
      <c r="L14" s="10">
        <f>COUNTIF('05_TE_PR_매핑'!$C$5:$C$500,A14)</f>
        <v>2</v>
      </c>
    </row>
    <row r="15" spans="1:12" ht="21.95" customHeight="1">
      <c r="A15" s="10" t="s">
        <v>331</v>
      </c>
      <c r="B15" s="10" t="s">
        <v>332</v>
      </c>
      <c r="C15" s="10" t="s">
        <v>333</v>
      </c>
      <c r="D15" s="10" t="s">
        <v>334</v>
      </c>
      <c r="E15" s="10" t="s">
        <v>288</v>
      </c>
      <c r="F15" s="10" t="s">
        <v>335</v>
      </c>
      <c r="G15" s="10" t="s">
        <v>336</v>
      </c>
      <c r="H15" s="10" t="s">
        <v>337</v>
      </c>
      <c r="I15" s="10" t="s">
        <v>338</v>
      </c>
      <c r="J15" s="10" t="s">
        <v>339</v>
      </c>
      <c r="K15" s="10" t="s">
        <v>340</v>
      </c>
      <c r="L15" s="10">
        <f>COUNTIF('05_TE_PR_매핑'!$C$5:$C$500,A15)</f>
        <v>1</v>
      </c>
    </row>
    <row r="16" spans="1:12" ht="21.95" customHeight="1">
      <c r="A16" s="10" t="s">
        <v>341</v>
      </c>
      <c r="B16" s="10" t="s">
        <v>342</v>
      </c>
      <c r="C16" s="10" t="s">
        <v>343</v>
      </c>
      <c r="D16" s="10" t="s">
        <v>344</v>
      </c>
      <c r="E16" s="10" t="s">
        <v>288</v>
      </c>
      <c r="F16" s="10" t="s">
        <v>345</v>
      </c>
      <c r="G16" s="10" t="s">
        <v>346</v>
      </c>
      <c r="H16" s="10" t="s">
        <v>347</v>
      </c>
      <c r="I16" s="10" t="s">
        <v>292</v>
      </c>
      <c r="J16" s="10" t="s">
        <v>293</v>
      </c>
      <c r="K16" s="10" t="s">
        <v>348</v>
      </c>
      <c r="L16" s="10">
        <f>COUNTIF('05_TE_PR_매핑'!$C$5:$C$500,A16)</f>
        <v>2</v>
      </c>
    </row>
    <row r="17" spans="1:12" ht="21.95" customHeight="1">
      <c r="A17" s="10" t="s">
        <v>349</v>
      </c>
      <c r="B17" s="10" t="s">
        <v>350</v>
      </c>
      <c r="C17" s="10" t="s">
        <v>351</v>
      </c>
      <c r="D17" s="10" t="s">
        <v>352</v>
      </c>
      <c r="E17" s="10" t="s">
        <v>288</v>
      </c>
      <c r="F17" s="10" t="s">
        <v>353</v>
      </c>
      <c r="G17" s="10" t="s">
        <v>354</v>
      </c>
      <c r="H17" s="10" t="s">
        <v>355</v>
      </c>
      <c r="I17" s="10" t="s">
        <v>356</v>
      </c>
      <c r="J17" s="10" t="s">
        <v>357</v>
      </c>
      <c r="K17" s="10" t="s">
        <v>358</v>
      </c>
      <c r="L17" s="10">
        <f>COUNTIF('05_TE_PR_매핑'!$C$5:$C$500,A17)</f>
        <v>6</v>
      </c>
    </row>
    <row r="18" spans="1:12" ht="21.95" customHeight="1">
      <c r="A18" s="10" t="s">
        <v>359</v>
      </c>
      <c r="B18" s="10" t="s">
        <v>360</v>
      </c>
      <c r="C18" s="10" t="s">
        <v>361</v>
      </c>
      <c r="D18" s="10" t="s">
        <v>362</v>
      </c>
      <c r="E18" s="10" t="s">
        <v>363</v>
      </c>
      <c r="F18" s="10" t="s">
        <v>364</v>
      </c>
      <c r="G18" s="10" t="s">
        <v>365</v>
      </c>
      <c r="H18" s="10" t="s">
        <v>366</v>
      </c>
      <c r="I18" s="10" t="s">
        <v>367</v>
      </c>
      <c r="J18" s="10" t="s">
        <v>368</v>
      </c>
      <c r="K18" s="10" t="s">
        <v>369</v>
      </c>
      <c r="L18" s="10">
        <f>COUNTIF('05_TE_PR_매핑'!$C$5:$C$500,A18)</f>
        <v>6</v>
      </c>
    </row>
    <row r="19" spans="1:12" ht="21.95" customHeight="1">
      <c r="A19" s="10" t="s">
        <v>370</v>
      </c>
      <c r="B19" s="10" t="s">
        <v>371</v>
      </c>
      <c r="C19" s="10" t="s">
        <v>372</v>
      </c>
      <c r="D19" s="10" t="s">
        <v>373</v>
      </c>
      <c r="E19" s="10" t="s">
        <v>374</v>
      </c>
      <c r="F19" s="10" t="s">
        <v>375</v>
      </c>
      <c r="G19" s="10" t="s">
        <v>376</v>
      </c>
      <c r="H19" s="10" t="s">
        <v>377</v>
      </c>
      <c r="I19" s="10" t="s">
        <v>378</v>
      </c>
      <c r="J19" s="10" t="s">
        <v>379</v>
      </c>
      <c r="K19" s="10" t="s">
        <v>380</v>
      </c>
      <c r="L19" s="10">
        <f>COUNTIF('05_TE_PR_매핑'!$C$5:$C$500,A19)</f>
        <v>1</v>
      </c>
    </row>
    <row r="20" spans="1:12" ht="21.95" customHeight="1">
      <c r="A20" s="10" t="s">
        <v>381</v>
      </c>
      <c r="B20" s="10" t="s">
        <v>382</v>
      </c>
      <c r="C20" s="10" t="s">
        <v>383</v>
      </c>
      <c r="D20" s="10" t="s">
        <v>384</v>
      </c>
      <c r="E20" s="10" t="s">
        <v>374</v>
      </c>
      <c r="F20" s="10" t="s">
        <v>385</v>
      </c>
      <c r="G20" s="10" t="s">
        <v>386</v>
      </c>
      <c r="H20" s="10" t="s">
        <v>387</v>
      </c>
      <c r="I20" s="10" t="s">
        <v>388</v>
      </c>
      <c r="J20" s="10" t="s">
        <v>244</v>
      </c>
      <c r="K20" s="10" t="s">
        <v>389</v>
      </c>
      <c r="L20" s="10">
        <f>COUNTIF('05_TE_PR_매핑'!$C$5:$C$500,A20)</f>
        <v>1</v>
      </c>
    </row>
    <row r="21" spans="1:12" ht="21.95" customHeight="1">
      <c r="A21" s="10" t="s">
        <v>390</v>
      </c>
      <c r="B21" s="10" t="s">
        <v>391</v>
      </c>
      <c r="C21" s="10" t="s">
        <v>392</v>
      </c>
      <c r="D21" s="10" t="s">
        <v>393</v>
      </c>
      <c r="E21" s="10" t="s">
        <v>288</v>
      </c>
      <c r="F21" s="10" t="s">
        <v>394</v>
      </c>
      <c r="G21" s="10" t="s">
        <v>395</v>
      </c>
      <c r="H21" s="10" t="s">
        <v>396</v>
      </c>
      <c r="I21" s="10" t="s">
        <v>397</v>
      </c>
      <c r="J21" s="10" t="s">
        <v>398</v>
      </c>
      <c r="K21" s="10" t="s">
        <v>399</v>
      </c>
      <c r="L21" s="10">
        <f>COUNTIF('05_TE_PR_매핑'!$C$5:$C$500,A21)</f>
        <v>2</v>
      </c>
    </row>
    <row r="22" spans="1:12" ht="21.95" customHeight="1">
      <c r="A22" s="11" t="s">
        <v>400</v>
      </c>
      <c r="B22" s="11" t="s">
        <v>401</v>
      </c>
      <c r="C22" s="11" t="s">
        <v>402</v>
      </c>
      <c r="D22" s="11" t="s">
        <v>403</v>
      </c>
      <c r="E22" s="11" t="s">
        <v>288</v>
      </c>
      <c r="F22" s="11" t="s">
        <v>404</v>
      </c>
      <c r="G22" s="11" t="s">
        <v>405</v>
      </c>
      <c r="H22" s="11" t="s">
        <v>406</v>
      </c>
      <c r="I22" s="11" t="s">
        <v>407</v>
      </c>
      <c r="J22" s="11" t="s">
        <v>408</v>
      </c>
      <c r="K22" s="11" t="s">
        <v>409</v>
      </c>
      <c r="L22" s="11">
        <f>COUNTIF('05_TE_PR_매핑'!$C$5:$C$500,A22)</f>
        <v>4</v>
      </c>
    </row>
  </sheetData>
  <mergeCells count="2">
    <mergeCell ref="A1:L1"/>
    <mergeCell ref="A2:L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"/>
  <sheetViews>
    <sheetView showGridLines="0" workbookViewId="0">
      <selection activeCell="G3" sqref="G1:G1048576"/>
    </sheetView>
  </sheetViews>
  <sheetFormatPr defaultRowHeight="14.25"/>
  <cols>
    <col min="1" max="3" width="22" customWidth="1"/>
    <col min="4" max="4" width="18" customWidth="1"/>
    <col min="5" max="5" width="64" customWidth="1"/>
    <col min="6" max="6" width="45" customWidth="1"/>
  </cols>
  <sheetData>
    <row r="1" spans="1:6" ht="30" customHeight="1">
      <c r="A1" s="16" t="s">
        <v>410</v>
      </c>
      <c r="B1" s="16"/>
      <c r="C1" s="16"/>
      <c r="D1" s="16"/>
      <c r="E1" s="16"/>
      <c r="F1" s="16"/>
    </row>
    <row r="2" spans="1:6" ht="38.1" customHeight="1">
      <c r="A2" s="18" t="s">
        <v>911</v>
      </c>
      <c r="B2" s="18"/>
      <c r="C2" s="18"/>
      <c r="D2" s="18"/>
      <c r="E2" s="18"/>
      <c r="F2" s="18"/>
    </row>
    <row r="3" spans="1:6">
      <c r="A3" s="1"/>
      <c r="B3" s="1"/>
      <c r="C3" s="1"/>
      <c r="D3" s="1"/>
      <c r="E3" s="1"/>
      <c r="F3" s="1"/>
    </row>
    <row r="4" spans="1:6" ht="33.950000000000003" customHeight="1">
      <c r="A4" s="2" t="s">
        <v>411</v>
      </c>
      <c r="B4" s="7" t="s">
        <v>9</v>
      </c>
      <c r="C4" s="7" t="s">
        <v>64</v>
      </c>
      <c r="D4" s="7" t="s">
        <v>412</v>
      </c>
      <c r="E4" s="7" t="s">
        <v>413</v>
      </c>
      <c r="F4" s="7" t="s">
        <v>414</v>
      </c>
    </row>
    <row r="5" spans="1:6" ht="21.95" customHeight="1">
      <c r="A5" s="8" t="s">
        <v>3</v>
      </c>
      <c r="B5" s="8" t="s">
        <v>0</v>
      </c>
      <c r="C5" s="8" t="s">
        <v>1</v>
      </c>
      <c r="D5" s="8" t="s">
        <v>415</v>
      </c>
      <c r="E5" s="8" t="s">
        <v>416</v>
      </c>
      <c r="F5" s="8" t="str">
        <f t="shared" ref="F5:F36" si="0">B5&amp;"|"&amp;C5</f>
        <v>XR-P-TA0001|XR-P-TE0001</v>
      </c>
    </row>
    <row r="6" spans="1:6" ht="21.95" customHeight="1">
      <c r="A6" s="10" t="s">
        <v>417</v>
      </c>
      <c r="B6" s="10" t="s">
        <v>0</v>
      </c>
      <c r="C6" s="10" t="s">
        <v>74</v>
      </c>
      <c r="D6" s="10" t="s">
        <v>415</v>
      </c>
      <c r="E6" s="10" t="s">
        <v>416</v>
      </c>
      <c r="F6" s="10" t="str">
        <f t="shared" si="0"/>
        <v>XR-P-TA0001|XR-P-TE0002</v>
      </c>
    </row>
    <row r="7" spans="1:6" ht="21.95" customHeight="1">
      <c r="A7" s="10" t="s">
        <v>418</v>
      </c>
      <c r="B7" s="10" t="s">
        <v>0</v>
      </c>
      <c r="C7" s="10" t="s">
        <v>79</v>
      </c>
      <c r="D7" s="10" t="s">
        <v>415</v>
      </c>
      <c r="E7" s="10" t="s">
        <v>416</v>
      </c>
      <c r="F7" s="10" t="str">
        <f t="shared" si="0"/>
        <v>XR-P-TA0001|XR-P-TE0003</v>
      </c>
    </row>
    <row r="8" spans="1:6" ht="21.95" customHeight="1">
      <c r="A8" s="10" t="s">
        <v>419</v>
      </c>
      <c r="B8" s="10" t="s">
        <v>0</v>
      </c>
      <c r="C8" s="10" t="s">
        <v>90</v>
      </c>
      <c r="D8" s="10" t="s">
        <v>415</v>
      </c>
      <c r="E8" s="10" t="s">
        <v>416</v>
      </c>
      <c r="F8" s="10" t="str">
        <f t="shared" si="0"/>
        <v>XR-P-TA0001|XR-P-TE0005</v>
      </c>
    </row>
    <row r="9" spans="1:6" ht="21.95" customHeight="1">
      <c r="A9" s="10" t="s">
        <v>420</v>
      </c>
      <c r="B9" s="10" t="s">
        <v>0</v>
      </c>
      <c r="C9" s="10" t="s">
        <v>107</v>
      </c>
      <c r="D9" s="10" t="s">
        <v>415</v>
      </c>
      <c r="E9" s="10" t="s">
        <v>416</v>
      </c>
      <c r="F9" s="10" t="str">
        <f t="shared" si="0"/>
        <v>XR-P-TA0001|XR-P-TE0008</v>
      </c>
    </row>
    <row r="10" spans="1:6" ht="21.95" customHeight="1">
      <c r="A10" s="10" t="s">
        <v>421</v>
      </c>
      <c r="B10" s="10" t="s">
        <v>0</v>
      </c>
      <c r="C10" s="10" t="s">
        <v>113</v>
      </c>
      <c r="D10" s="10" t="s">
        <v>415</v>
      </c>
      <c r="E10" s="10" t="s">
        <v>416</v>
      </c>
      <c r="F10" s="10" t="str">
        <f t="shared" si="0"/>
        <v>XR-P-TA0001|XR-P-TE0009</v>
      </c>
    </row>
    <row r="11" spans="1:6" ht="21.95" customHeight="1">
      <c r="A11" s="10" t="s">
        <v>422</v>
      </c>
      <c r="B11" s="10" t="s">
        <v>0</v>
      </c>
      <c r="C11" s="10" t="s">
        <v>118</v>
      </c>
      <c r="D11" s="10" t="s">
        <v>415</v>
      </c>
      <c r="E11" s="10" t="s">
        <v>416</v>
      </c>
      <c r="F11" s="10" t="str">
        <f t="shared" si="0"/>
        <v>XR-P-TA0001|XR-P-TE0010</v>
      </c>
    </row>
    <row r="12" spans="1:6" ht="21.95" customHeight="1">
      <c r="A12" s="10" t="s">
        <v>423</v>
      </c>
      <c r="B12" s="10" t="s">
        <v>0</v>
      </c>
      <c r="C12" s="10" t="s">
        <v>145</v>
      </c>
      <c r="D12" s="10" t="s">
        <v>415</v>
      </c>
      <c r="E12" s="10" t="s">
        <v>416</v>
      </c>
      <c r="F12" s="10" t="str">
        <f t="shared" si="0"/>
        <v>XR-P-TA0001|XR-P-TE0015</v>
      </c>
    </row>
    <row r="13" spans="1:6" ht="21.95" customHeight="1">
      <c r="A13" s="10" t="s">
        <v>424</v>
      </c>
      <c r="B13" s="10" t="s">
        <v>0</v>
      </c>
      <c r="C13" s="10" t="s">
        <v>194</v>
      </c>
      <c r="D13" s="10" t="s">
        <v>415</v>
      </c>
      <c r="E13" s="10" t="s">
        <v>416</v>
      </c>
      <c r="F13" s="10" t="str">
        <f t="shared" si="0"/>
        <v>XR-P-TA0001|XR-P-TE0024</v>
      </c>
    </row>
    <row r="14" spans="1:6" ht="21.95" customHeight="1">
      <c r="A14" s="10" t="s">
        <v>425</v>
      </c>
      <c r="B14" s="10" t="s">
        <v>19</v>
      </c>
      <c r="C14" s="10" t="s">
        <v>1</v>
      </c>
      <c r="D14" s="10" t="s">
        <v>415</v>
      </c>
      <c r="E14" s="10" t="s">
        <v>416</v>
      </c>
      <c r="F14" s="10" t="str">
        <f t="shared" si="0"/>
        <v>XR-P-TA0002|XR-P-TE0001</v>
      </c>
    </row>
    <row r="15" spans="1:6" ht="21.95" customHeight="1">
      <c r="A15" s="10" t="s">
        <v>426</v>
      </c>
      <c r="B15" s="10" t="s">
        <v>19</v>
      </c>
      <c r="C15" s="10" t="s">
        <v>74</v>
      </c>
      <c r="D15" s="10" t="s">
        <v>415</v>
      </c>
      <c r="E15" s="10" t="s">
        <v>416</v>
      </c>
      <c r="F15" s="10" t="str">
        <f t="shared" si="0"/>
        <v>XR-P-TA0002|XR-P-TE0002</v>
      </c>
    </row>
    <row r="16" spans="1:6" ht="21.95" customHeight="1">
      <c r="A16" s="10" t="s">
        <v>427</v>
      </c>
      <c r="B16" s="10" t="s">
        <v>19</v>
      </c>
      <c r="C16" s="10" t="s">
        <v>79</v>
      </c>
      <c r="D16" s="10" t="s">
        <v>415</v>
      </c>
      <c r="E16" s="10" t="s">
        <v>416</v>
      </c>
      <c r="F16" s="10" t="str">
        <f t="shared" si="0"/>
        <v>XR-P-TA0002|XR-P-TE0003</v>
      </c>
    </row>
    <row r="17" spans="1:6" ht="21.95" customHeight="1">
      <c r="A17" s="10" t="s">
        <v>428</v>
      </c>
      <c r="B17" s="10" t="s">
        <v>19</v>
      </c>
      <c r="C17" s="10" t="s">
        <v>107</v>
      </c>
      <c r="D17" s="10" t="s">
        <v>415</v>
      </c>
      <c r="E17" s="10" t="s">
        <v>416</v>
      </c>
      <c r="F17" s="10" t="str">
        <f t="shared" si="0"/>
        <v>XR-P-TA0002|XR-P-TE0008</v>
      </c>
    </row>
    <row r="18" spans="1:6" ht="21.95" customHeight="1">
      <c r="A18" s="10" t="s">
        <v>429</v>
      </c>
      <c r="B18" s="10" t="s">
        <v>19</v>
      </c>
      <c r="C18" s="10" t="s">
        <v>113</v>
      </c>
      <c r="D18" s="10" t="s">
        <v>415</v>
      </c>
      <c r="E18" s="10" t="s">
        <v>416</v>
      </c>
      <c r="F18" s="10" t="str">
        <f t="shared" si="0"/>
        <v>XR-P-TA0002|XR-P-TE0009</v>
      </c>
    </row>
    <row r="19" spans="1:6" ht="21.95" customHeight="1">
      <c r="A19" s="10" t="s">
        <v>430</v>
      </c>
      <c r="B19" s="10" t="s">
        <v>19</v>
      </c>
      <c r="C19" s="10" t="s">
        <v>118</v>
      </c>
      <c r="D19" s="10" t="s">
        <v>415</v>
      </c>
      <c r="E19" s="10" t="s">
        <v>416</v>
      </c>
      <c r="F19" s="10" t="str">
        <f t="shared" si="0"/>
        <v>XR-P-TA0002|XR-P-TE0010</v>
      </c>
    </row>
    <row r="20" spans="1:6" ht="21.95" customHeight="1">
      <c r="A20" s="10" t="s">
        <v>431</v>
      </c>
      <c r="B20" s="10" t="s">
        <v>19</v>
      </c>
      <c r="C20" s="10" t="s">
        <v>123</v>
      </c>
      <c r="D20" s="10" t="s">
        <v>415</v>
      </c>
      <c r="E20" s="10" t="s">
        <v>416</v>
      </c>
      <c r="F20" s="10" t="str">
        <f t="shared" si="0"/>
        <v>XR-P-TA0002|XR-P-TE0011</v>
      </c>
    </row>
    <row r="21" spans="1:6" ht="21.95" customHeight="1">
      <c r="A21" s="10" t="s">
        <v>432</v>
      </c>
      <c r="B21" s="10" t="s">
        <v>19</v>
      </c>
      <c r="C21" s="10" t="s">
        <v>145</v>
      </c>
      <c r="D21" s="10" t="s">
        <v>415</v>
      </c>
      <c r="E21" s="10" t="s">
        <v>416</v>
      </c>
      <c r="F21" s="10" t="str">
        <f t="shared" si="0"/>
        <v>XR-P-TA0002|XR-P-TE0015</v>
      </c>
    </row>
    <row r="22" spans="1:6" ht="21.95" customHeight="1">
      <c r="A22" s="10" t="s">
        <v>433</v>
      </c>
      <c r="B22" s="10" t="s">
        <v>19</v>
      </c>
      <c r="C22" s="10" t="s">
        <v>151</v>
      </c>
      <c r="D22" s="10" t="s">
        <v>415</v>
      </c>
      <c r="E22" s="10" t="s">
        <v>416</v>
      </c>
      <c r="F22" s="10" t="str">
        <f t="shared" si="0"/>
        <v>XR-P-TA0002|XR-P-TE0016</v>
      </c>
    </row>
    <row r="23" spans="1:6" ht="21.95" customHeight="1">
      <c r="A23" s="10" t="s">
        <v>434</v>
      </c>
      <c r="B23" s="10" t="s">
        <v>19</v>
      </c>
      <c r="C23" s="10" t="s">
        <v>157</v>
      </c>
      <c r="D23" s="10" t="s">
        <v>415</v>
      </c>
      <c r="E23" s="10" t="s">
        <v>416</v>
      </c>
      <c r="F23" s="10" t="str">
        <f t="shared" si="0"/>
        <v>XR-P-TA0002|XR-P-TE0017</v>
      </c>
    </row>
    <row r="24" spans="1:6" ht="21.95" customHeight="1">
      <c r="A24" s="10" t="s">
        <v>435</v>
      </c>
      <c r="B24" s="10" t="s">
        <v>19</v>
      </c>
      <c r="C24" s="10" t="s">
        <v>167</v>
      </c>
      <c r="D24" s="10" t="s">
        <v>415</v>
      </c>
      <c r="E24" s="10" t="s">
        <v>416</v>
      </c>
      <c r="F24" s="10" t="str">
        <f t="shared" si="0"/>
        <v>XR-P-TA0002|XR-P-TE0019</v>
      </c>
    </row>
    <row r="25" spans="1:6" ht="21.95" customHeight="1">
      <c r="A25" s="10" t="s">
        <v>436</v>
      </c>
      <c r="B25" s="10" t="s">
        <v>23</v>
      </c>
      <c r="C25" s="10" t="s">
        <v>1</v>
      </c>
      <c r="D25" s="10" t="s">
        <v>415</v>
      </c>
      <c r="E25" s="10" t="s">
        <v>416</v>
      </c>
      <c r="F25" s="10" t="str">
        <f t="shared" si="0"/>
        <v>XR-P-TA0003|XR-P-TE0001</v>
      </c>
    </row>
    <row r="26" spans="1:6" ht="21.95" customHeight="1">
      <c r="A26" s="10" t="s">
        <v>437</v>
      </c>
      <c r="B26" s="10" t="s">
        <v>23</v>
      </c>
      <c r="C26" s="10" t="s">
        <v>74</v>
      </c>
      <c r="D26" s="10" t="s">
        <v>415</v>
      </c>
      <c r="E26" s="10" t="s">
        <v>416</v>
      </c>
      <c r="F26" s="10" t="str">
        <f t="shared" si="0"/>
        <v>XR-P-TA0003|XR-P-TE0002</v>
      </c>
    </row>
    <row r="27" spans="1:6" ht="21.95" customHeight="1">
      <c r="A27" s="10" t="s">
        <v>438</v>
      </c>
      <c r="B27" s="10" t="s">
        <v>23</v>
      </c>
      <c r="C27" s="10" t="s">
        <v>79</v>
      </c>
      <c r="D27" s="10" t="s">
        <v>415</v>
      </c>
      <c r="E27" s="10" t="s">
        <v>416</v>
      </c>
      <c r="F27" s="10" t="str">
        <f t="shared" si="0"/>
        <v>XR-P-TA0003|XR-P-TE0003</v>
      </c>
    </row>
    <row r="28" spans="1:6" ht="21.95" customHeight="1">
      <c r="A28" s="10" t="s">
        <v>439</v>
      </c>
      <c r="B28" s="10" t="s">
        <v>23</v>
      </c>
      <c r="C28" s="10" t="s">
        <v>84</v>
      </c>
      <c r="D28" s="10" t="s">
        <v>415</v>
      </c>
      <c r="E28" s="10" t="s">
        <v>416</v>
      </c>
      <c r="F28" s="10" t="str">
        <f t="shared" si="0"/>
        <v>XR-P-TA0003|XR-P-TE0004</v>
      </c>
    </row>
    <row r="29" spans="1:6" ht="21.95" customHeight="1">
      <c r="A29" s="10" t="s">
        <v>440</v>
      </c>
      <c r="B29" s="10" t="s">
        <v>23</v>
      </c>
      <c r="C29" s="10" t="s">
        <v>90</v>
      </c>
      <c r="D29" s="10" t="s">
        <v>415</v>
      </c>
      <c r="E29" s="10" t="s">
        <v>416</v>
      </c>
      <c r="F29" s="10" t="str">
        <f t="shared" si="0"/>
        <v>XR-P-TA0003|XR-P-TE0005</v>
      </c>
    </row>
    <row r="30" spans="1:6" ht="21.95" customHeight="1">
      <c r="A30" s="10" t="s">
        <v>441</v>
      </c>
      <c r="B30" s="10" t="s">
        <v>23</v>
      </c>
      <c r="C30" s="10" t="s">
        <v>96</v>
      </c>
      <c r="D30" s="10" t="s">
        <v>415</v>
      </c>
      <c r="E30" s="10" t="s">
        <v>416</v>
      </c>
      <c r="F30" s="10" t="str">
        <f t="shared" si="0"/>
        <v>XR-P-TA0003|XR-P-TE0006</v>
      </c>
    </row>
    <row r="31" spans="1:6" ht="21.95" customHeight="1">
      <c r="A31" s="10" t="s">
        <v>442</v>
      </c>
      <c r="B31" s="10" t="s">
        <v>23</v>
      </c>
      <c r="C31" s="10" t="s">
        <v>102</v>
      </c>
      <c r="D31" s="10" t="s">
        <v>415</v>
      </c>
      <c r="E31" s="10" t="s">
        <v>416</v>
      </c>
      <c r="F31" s="10" t="str">
        <f t="shared" si="0"/>
        <v>XR-P-TA0003|XR-P-TE0007</v>
      </c>
    </row>
    <row r="32" spans="1:6" ht="21.95" customHeight="1">
      <c r="A32" s="10" t="s">
        <v>443</v>
      </c>
      <c r="B32" s="10" t="s">
        <v>23</v>
      </c>
      <c r="C32" s="10" t="s">
        <v>123</v>
      </c>
      <c r="D32" s="10" t="s">
        <v>415</v>
      </c>
      <c r="E32" s="10" t="s">
        <v>416</v>
      </c>
      <c r="F32" s="10" t="str">
        <f t="shared" si="0"/>
        <v>XR-P-TA0003|XR-P-TE0011</v>
      </c>
    </row>
    <row r="33" spans="1:6" ht="21.95" customHeight="1">
      <c r="A33" s="10" t="s">
        <v>444</v>
      </c>
      <c r="B33" s="10" t="s">
        <v>23</v>
      </c>
      <c r="C33" s="10" t="s">
        <v>145</v>
      </c>
      <c r="D33" s="10" t="s">
        <v>415</v>
      </c>
      <c r="E33" s="10" t="s">
        <v>416</v>
      </c>
      <c r="F33" s="10" t="str">
        <f t="shared" si="0"/>
        <v>XR-P-TA0003|XR-P-TE0015</v>
      </c>
    </row>
    <row r="34" spans="1:6" ht="21.95" customHeight="1">
      <c r="A34" s="10" t="s">
        <v>445</v>
      </c>
      <c r="B34" s="10" t="s">
        <v>23</v>
      </c>
      <c r="C34" s="10" t="s">
        <v>161</v>
      </c>
      <c r="D34" s="10" t="s">
        <v>415</v>
      </c>
      <c r="E34" s="10" t="s">
        <v>416</v>
      </c>
      <c r="F34" s="10" t="str">
        <f t="shared" si="0"/>
        <v>XR-P-TA0003|XR-P-TE0018</v>
      </c>
    </row>
    <row r="35" spans="1:6" ht="21.95" customHeight="1">
      <c r="A35" s="10" t="s">
        <v>446</v>
      </c>
      <c r="B35" s="10" t="s">
        <v>23</v>
      </c>
      <c r="C35" s="10" t="s">
        <v>194</v>
      </c>
      <c r="D35" s="10" t="s">
        <v>415</v>
      </c>
      <c r="E35" s="10" t="s">
        <v>416</v>
      </c>
      <c r="F35" s="10" t="str">
        <f t="shared" si="0"/>
        <v>XR-P-TA0003|XR-P-TE0024</v>
      </c>
    </row>
    <row r="36" spans="1:6" ht="21.95" customHeight="1">
      <c r="A36" s="10" t="s">
        <v>447</v>
      </c>
      <c r="B36" s="10" t="s">
        <v>23</v>
      </c>
      <c r="C36" s="10" t="s">
        <v>199</v>
      </c>
      <c r="D36" s="10" t="s">
        <v>415</v>
      </c>
      <c r="E36" s="10" t="s">
        <v>416</v>
      </c>
      <c r="F36" s="10" t="str">
        <f t="shared" si="0"/>
        <v>XR-P-TA0003|XR-P-TE0025</v>
      </c>
    </row>
    <row r="37" spans="1:6" ht="21.95" customHeight="1">
      <c r="A37" s="10" t="s">
        <v>448</v>
      </c>
      <c r="B37" s="10" t="s">
        <v>23</v>
      </c>
      <c r="C37" s="10" t="s">
        <v>222</v>
      </c>
      <c r="D37" s="10" t="s">
        <v>415</v>
      </c>
      <c r="E37" s="10" t="s">
        <v>416</v>
      </c>
      <c r="F37" s="10" t="str">
        <f t="shared" ref="F37:F68" si="1">B37&amp;"|"&amp;C37</f>
        <v>XR-P-TA0003|XR-P-TE0029</v>
      </c>
    </row>
    <row r="38" spans="1:6" ht="21.95" customHeight="1">
      <c r="A38" s="10" t="s">
        <v>449</v>
      </c>
      <c r="B38" s="10" t="s">
        <v>27</v>
      </c>
      <c r="C38" s="10" t="s">
        <v>107</v>
      </c>
      <c r="D38" s="10" t="s">
        <v>415</v>
      </c>
      <c r="E38" s="10" t="s">
        <v>416</v>
      </c>
      <c r="F38" s="10" t="str">
        <f t="shared" si="1"/>
        <v>XR-P-TA0004|XR-P-TE0008</v>
      </c>
    </row>
    <row r="39" spans="1:6" ht="21.95" customHeight="1">
      <c r="A39" s="10" t="s">
        <v>450</v>
      </c>
      <c r="B39" s="10" t="s">
        <v>27</v>
      </c>
      <c r="C39" s="10" t="s">
        <v>113</v>
      </c>
      <c r="D39" s="10" t="s">
        <v>415</v>
      </c>
      <c r="E39" s="10" t="s">
        <v>416</v>
      </c>
      <c r="F39" s="10" t="str">
        <f t="shared" si="1"/>
        <v>XR-P-TA0004|XR-P-TE0009</v>
      </c>
    </row>
    <row r="40" spans="1:6" ht="21.95" customHeight="1">
      <c r="A40" s="10" t="s">
        <v>451</v>
      </c>
      <c r="B40" s="10" t="s">
        <v>27</v>
      </c>
      <c r="C40" s="10" t="s">
        <v>123</v>
      </c>
      <c r="D40" s="10" t="s">
        <v>415</v>
      </c>
      <c r="E40" s="10" t="s">
        <v>416</v>
      </c>
      <c r="F40" s="10" t="str">
        <f t="shared" si="1"/>
        <v>XR-P-TA0004|XR-P-TE0011</v>
      </c>
    </row>
    <row r="41" spans="1:6" ht="21.95" customHeight="1">
      <c r="A41" s="10" t="s">
        <v>452</v>
      </c>
      <c r="B41" s="10" t="s">
        <v>27</v>
      </c>
      <c r="C41" s="10" t="s">
        <v>129</v>
      </c>
      <c r="D41" s="10" t="s">
        <v>415</v>
      </c>
      <c r="E41" s="10" t="s">
        <v>416</v>
      </c>
      <c r="F41" s="10" t="str">
        <f t="shared" si="1"/>
        <v>XR-P-TA0004|XR-P-TE0012</v>
      </c>
    </row>
    <row r="42" spans="1:6" ht="21.95" customHeight="1">
      <c r="A42" s="10" t="s">
        <v>453</v>
      </c>
      <c r="B42" s="10" t="s">
        <v>27</v>
      </c>
      <c r="C42" s="10" t="s">
        <v>134</v>
      </c>
      <c r="D42" s="10" t="s">
        <v>415</v>
      </c>
      <c r="E42" s="10" t="s">
        <v>416</v>
      </c>
      <c r="F42" s="10" t="str">
        <f t="shared" si="1"/>
        <v>XR-P-TA0004|XR-P-TE0013</v>
      </c>
    </row>
    <row r="43" spans="1:6" ht="21.95" customHeight="1">
      <c r="A43" s="10" t="s">
        <v>454</v>
      </c>
      <c r="B43" s="10" t="s">
        <v>27</v>
      </c>
      <c r="C43" s="10" t="s">
        <v>145</v>
      </c>
      <c r="D43" s="10" t="s">
        <v>415</v>
      </c>
      <c r="E43" s="10" t="s">
        <v>416</v>
      </c>
      <c r="F43" s="10" t="str">
        <f t="shared" si="1"/>
        <v>XR-P-TA0004|XR-P-TE0015</v>
      </c>
    </row>
    <row r="44" spans="1:6" ht="21.95" customHeight="1">
      <c r="A44" s="10" t="s">
        <v>455</v>
      </c>
      <c r="B44" s="10" t="s">
        <v>27</v>
      </c>
      <c r="C44" s="10" t="s">
        <v>151</v>
      </c>
      <c r="D44" s="10" t="s">
        <v>415</v>
      </c>
      <c r="E44" s="10" t="s">
        <v>416</v>
      </c>
      <c r="F44" s="10" t="str">
        <f t="shared" si="1"/>
        <v>XR-P-TA0004|XR-P-TE0016</v>
      </c>
    </row>
    <row r="45" spans="1:6" ht="21.95" customHeight="1">
      <c r="A45" s="10" t="s">
        <v>456</v>
      </c>
      <c r="B45" s="10" t="s">
        <v>27</v>
      </c>
      <c r="C45" s="10" t="s">
        <v>157</v>
      </c>
      <c r="D45" s="10" t="s">
        <v>415</v>
      </c>
      <c r="E45" s="10" t="s">
        <v>416</v>
      </c>
      <c r="F45" s="10" t="str">
        <f t="shared" si="1"/>
        <v>XR-P-TA0004|XR-P-TE0017</v>
      </c>
    </row>
    <row r="46" spans="1:6" ht="21.95" customHeight="1">
      <c r="A46" s="10" t="s">
        <v>457</v>
      </c>
      <c r="B46" s="10" t="s">
        <v>27</v>
      </c>
      <c r="C46" s="10" t="s">
        <v>161</v>
      </c>
      <c r="D46" s="10" t="s">
        <v>415</v>
      </c>
      <c r="E46" s="10" t="s">
        <v>416</v>
      </c>
      <c r="F46" s="10" t="str">
        <f t="shared" si="1"/>
        <v>XR-P-TA0004|XR-P-TE0018</v>
      </c>
    </row>
    <row r="47" spans="1:6" ht="21.95" customHeight="1">
      <c r="A47" s="10" t="s">
        <v>458</v>
      </c>
      <c r="B47" s="10" t="s">
        <v>31</v>
      </c>
      <c r="C47" s="10" t="s">
        <v>1</v>
      </c>
      <c r="D47" s="10" t="s">
        <v>415</v>
      </c>
      <c r="E47" s="10" t="s">
        <v>416</v>
      </c>
      <c r="F47" s="10" t="str">
        <f t="shared" si="1"/>
        <v>XR-P-TA0005|XR-P-TE0001</v>
      </c>
    </row>
    <row r="48" spans="1:6" ht="21.95" customHeight="1">
      <c r="A48" s="10" t="s">
        <v>459</v>
      </c>
      <c r="B48" s="10" t="s">
        <v>31</v>
      </c>
      <c r="C48" s="10" t="s">
        <v>74</v>
      </c>
      <c r="D48" s="10" t="s">
        <v>415</v>
      </c>
      <c r="E48" s="10" t="s">
        <v>416</v>
      </c>
      <c r="F48" s="10" t="str">
        <f t="shared" si="1"/>
        <v>XR-P-TA0005|XR-P-TE0002</v>
      </c>
    </row>
    <row r="49" spans="1:6" ht="21.95" customHeight="1">
      <c r="A49" s="10" t="s">
        <v>460</v>
      </c>
      <c r="B49" s="10" t="s">
        <v>31</v>
      </c>
      <c r="C49" s="10" t="s">
        <v>123</v>
      </c>
      <c r="D49" s="10" t="s">
        <v>415</v>
      </c>
      <c r="E49" s="10" t="s">
        <v>416</v>
      </c>
      <c r="F49" s="10" t="str">
        <f t="shared" si="1"/>
        <v>XR-P-TA0005|XR-P-TE0011</v>
      </c>
    </row>
    <row r="50" spans="1:6" ht="21.95" customHeight="1">
      <c r="A50" s="10" t="s">
        <v>461</v>
      </c>
      <c r="B50" s="10" t="s">
        <v>31</v>
      </c>
      <c r="C50" s="10" t="s">
        <v>145</v>
      </c>
      <c r="D50" s="10" t="s">
        <v>415</v>
      </c>
      <c r="E50" s="10" t="s">
        <v>416</v>
      </c>
      <c r="F50" s="10" t="str">
        <f t="shared" si="1"/>
        <v>XR-P-TA0005|XR-P-TE0015</v>
      </c>
    </row>
    <row r="51" spans="1:6" ht="21.95" customHeight="1">
      <c r="A51" s="10" t="s">
        <v>462</v>
      </c>
      <c r="B51" s="10" t="s">
        <v>31</v>
      </c>
      <c r="C51" s="10" t="s">
        <v>151</v>
      </c>
      <c r="D51" s="10" t="s">
        <v>415</v>
      </c>
      <c r="E51" s="10" t="s">
        <v>416</v>
      </c>
      <c r="F51" s="10" t="str">
        <f t="shared" si="1"/>
        <v>XR-P-TA0005|XR-P-TE0016</v>
      </c>
    </row>
    <row r="52" spans="1:6" ht="21.95" customHeight="1">
      <c r="A52" s="10" t="s">
        <v>463</v>
      </c>
      <c r="B52" s="10" t="s">
        <v>31</v>
      </c>
      <c r="C52" s="10" t="s">
        <v>157</v>
      </c>
      <c r="D52" s="10" t="s">
        <v>415</v>
      </c>
      <c r="E52" s="10" t="s">
        <v>416</v>
      </c>
      <c r="F52" s="10" t="str">
        <f t="shared" si="1"/>
        <v>XR-P-TA0005|XR-P-TE0017</v>
      </c>
    </row>
    <row r="53" spans="1:6" ht="21.95" customHeight="1">
      <c r="A53" s="10" t="s">
        <v>464</v>
      </c>
      <c r="B53" s="10" t="s">
        <v>31</v>
      </c>
      <c r="C53" s="10" t="s">
        <v>161</v>
      </c>
      <c r="D53" s="10" t="s">
        <v>415</v>
      </c>
      <c r="E53" s="10" t="s">
        <v>416</v>
      </c>
      <c r="F53" s="10" t="str">
        <f t="shared" si="1"/>
        <v>XR-P-TA0005|XR-P-TE0018</v>
      </c>
    </row>
    <row r="54" spans="1:6" ht="21.95" customHeight="1">
      <c r="A54" s="10" t="s">
        <v>465</v>
      </c>
      <c r="B54" s="10" t="s">
        <v>31</v>
      </c>
      <c r="C54" s="10" t="s">
        <v>167</v>
      </c>
      <c r="D54" s="10" t="s">
        <v>415</v>
      </c>
      <c r="E54" s="10" t="s">
        <v>416</v>
      </c>
      <c r="F54" s="10" t="str">
        <f t="shared" si="1"/>
        <v>XR-P-TA0005|XR-P-TE0019</v>
      </c>
    </row>
    <row r="55" spans="1:6" ht="21.95" customHeight="1">
      <c r="A55" s="10" t="s">
        <v>466</v>
      </c>
      <c r="B55" s="10" t="s">
        <v>31</v>
      </c>
      <c r="C55" s="10" t="s">
        <v>199</v>
      </c>
      <c r="D55" s="10" t="s">
        <v>415</v>
      </c>
      <c r="E55" s="10" t="s">
        <v>416</v>
      </c>
      <c r="F55" s="10" t="str">
        <f t="shared" si="1"/>
        <v>XR-P-TA0005|XR-P-TE0025</v>
      </c>
    </row>
    <row r="56" spans="1:6" ht="21.95" customHeight="1">
      <c r="A56" s="10" t="s">
        <v>467</v>
      </c>
      <c r="B56" s="10" t="s">
        <v>35</v>
      </c>
      <c r="C56" s="10" t="s">
        <v>145</v>
      </c>
      <c r="D56" s="10" t="s">
        <v>415</v>
      </c>
      <c r="E56" s="10" t="s">
        <v>416</v>
      </c>
      <c r="F56" s="10" t="str">
        <f t="shared" si="1"/>
        <v>XR-P-TA0006|XR-P-TE0015</v>
      </c>
    </row>
    <row r="57" spans="1:6" ht="21.95" customHeight="1">
      <c r="A57" s="10" t="s">
        <v>468</v>
      </c>
      <c r="B57" s="10" t="s">
        <v>35</v>
      </c>
      <c r="C57" s="10" t="s">
        <v>167</v>
      </c>
      <c r="D57" s="10" t="s">
        <v>415</v>
      </c>
      <c r="E57" s="10" t="s">
        <v>416</v>
      </c>
      <c r="F57" s="10" t="str">
        <f t="shared" si="1"/>
        <v>XR-P-TA0006|XR-P-TE0019</v>
      </c>
    </row>
    <row r="58" spans="1:6" ht="21.95" customHeight="1">
      <c r="A58" s="10" t="s">
        <v>469</v>
      </c>
      <c r="B58" s="10" t="s">
        <v>35</v>
      </c>
      <c r="C58" s="10" t="s">
        <v>172</v>
      </c>
      <c r="D58" s="10" t="s">
        <v>415</v>
      </c>
      <c r="E58" s="10" t="s">
        <v>416</v>
      </c>
      <c r="F58" s="10" t="str">
        <f t="shared" si="1"/>
        <v>XR-P-TA0006|XR-P-TE0020</v>
      </c>
    </row>
    <row r="59" spans="1:6" ht="21.95" customHeight="1">
      <c r="A59" s="10" t="s">
        <v>470</v>
      </c>
      <c r="B59" s="10" t="s">
        <v>35</v>
      </c>
      <c r="C59" s="10" t="s">
        <v>176</v>
      </c>
      <c r="D59" s="10" t="s">
        <v>415</v>
      </c>
      <c r="E59" s="10" t="s">
        <v>416</v>
      </c>
      <c r="F59" s="10" t="str">
        <f t="shared" si="1"/>
        <v>XR-P-TA0006|XR-P-TE0021</v>
      </c>
    </row>
    <row r="60" spans="1:6" ht="21.95" customHeight="1">
      <c r="A60" s="10" t="s">
        <v>471</v>
      </c>
      <c r="B60" s="10" t="s">
        <v>35</v>
      </c>
      <c r="C60" s="10" t="s">
        <v>181</v>
      </c>
      <c r="D60" s="10" t="s">
        <v>415</v>
      </c>
      <c r="E60" s="10" t="s">
        <v>416</v>
      </c>
      <c r="F60" s="10" t="str">
        <f t="shared" si="1"/>
        <v>XR-P-TA0006|XR-P-TE0022</v>
      </c>
    </row>
    <row r="61" spans="1:6" ht="21.95" customHeight="1">
      <c r="A61" s="10" t="s">
        <v>472</v>
      </c>
      <c r="B61" s="10" t="s">
        <v>35</v>
      </c>
      <c r="C61" s="10" t="s">
        <v>211</v>
      </c>
      <c r="D61" s="10" t="s">
        <v>415</v>
      </c>
      <c r="E61" s="10" t="s">
        <v>416</v>
      </c>
      <c r="F61" s="10" t="str">
        <f t="shared" si="1"/>
        <v>XR-P-TA0006|XR-P-TE0027</v>
      </c>
    </row>
    <row r="62" spans="1:6" ht="21.95" customHeight="1">
      <c r="A62" s="10" t="s">
        <v>473</v>
      </c>
      <c r="B62" s="10" t="s">
        <v>39</v>
      </c>
      <c r="C62" s="10" t="s">
        <v>74</v>
      </c>
      <c r="D62" s="10" t="s">
        <v>415</v>
      </c>
      <c r="E62" s="10" t="s">
        <v>416</v>
      </c>
      <c r="F62" s="10" t="str">
        <f t="shared" si="1"/>
        <v>XR-P-TA0007|XR-P-TE0002</v>
      </c>
    </row>
    <row r="63" spans="1:6" ht="21.95" customHeight="1">
      <c r="A63" s="10" t="s">
        <v>474</v>
      </c>
      <c r="B63" s="10" t="s">
        <v>39</v>
      </c>
      <c r="C63" s="10" t="s">
        <v>79</v>
      </c>
      <c r="D63" s="10" t="s">
        <v>415</v>
      </c>
      <c r="E63" s="10" t="s">
        <v>416</v>
      </c>
      <c r="F63" s="10" t="str">
        <f t="shared" si="1"/>
        <v>XR-P-TA0007|XR-P-TE0003</v>
      </c>
    </row>
    <row r="64" spans="1:6" ht="21.95" customHeight="1">
      <c r="A64" s="10" t="s">
        <v>475</v>
      </c>
      <c r="B64" s="10" t="s">
        <v>39</v>
      </c>
      <c r="C64" s="10" t="s">
        <v>96</v>
      </c>
      <c r="D64" s="10" t="s">
        <v>415</v>
      </c>
      <c r="E64" s="10" t="s">
        <v>416</v>
      </c>
      <c r="F64" s="10" t="str">
        <f t="shared" si="1"/>
        <v>XR-P-TA0007|XR-P-TE0006</v>
      </c>
    </row>
    <row r="65" spans="1:6" ht="21.95" customHeight="1">
      <c r="A65" s="10" t="s">
        <v>476</v>
      </c>
      <c r="B65" s="10" t="s">
        <v>39</v>
      </c>
      <c r="C65" s="10" t="s">
        <v>102</v>
      </c>
      <c r="D65" s="10" t="s">
        <v>415</v>
      </c>
      <c r="E65" s="10" t="s">
        <v>416</v>
      </c>
      <c r="F65" s="10" t="str">
        <f t="shared" si="1"/>
        <v>XR-P-TA0007|XR-P-TE0007</v>
      </c>
    </row>
    <row r="66" spans="1:6" ht="21.95" customHeight="1">
      <c r="A66" s="10" t="s">
        <v>477</v>
      </c>
      <c r="B66" s="10" t="s">
        <v>39</v>
      </c>
      <c r="C66" s="10" t="s">
        <v>129</v>
      </c>
      <c r="D66" s="10" t="s">
        <v>415</v>
      </c>
      <c r="E66" s="10" t="s">
        <v>416</v>
      </c>
      <c r="F66" s="10" t="str">
        <f t="shared" si="1"/>
        <v>XR-P-TA0007|XR-P-TE0012</v>
      </c>
    </row>
    <row r="67" spans="1:6" ht="21.95" customHeight="1">
      <c r="A67" s="10" t="s">
        <v>478</v>
      </c>
      <c r="B67" s="10" t="s">
        <v>39</v>
      </c>
      <c r="C67" s="10" t="s">
        <v>181</v>
      </c>
      <c r="D67" s="10" t="s">
        <v>415</v>
      </c>
      <c r="E67" s="10" t="s">
        <v>416</v>
      </c>
      <c r="F67" s="10" t="str">
        <f t="shared" si="1"/>
        <v>XR-P-TA0007|XR-P-TE0022</v>
      </c>
    </row>
    <row r="68" spans="1:6" ht="21.95" customHeight="1">
      <c r="A68" s="10" t="s">
        <v>479</v>
      </c>
      <c r="B68" s="10" t="s">
        <v>39</v>
      </c>
      <c r="C68" s="10" t="s">
        <v>188</v>
      </c>
      <c r="D68" s="10" t="s">
        <v>415</v>
      </c>
      <c r="E68" s="10" t="s">
        <v>416</v>
      </c>
      <c r="F68" s="10" t="str">
        <f t="shared" si="1"/>
        <v>XR-P-TA0007|XR-P-TE0023</v>
      </c>
    </row>
    <row r="69" spans="1:6" ht="21.95" customHeight="1">
      <c r="A69" s="10" t="s">
        <v>480</v>
      </c>
      <c r="B69" s="10" t="s">
        <v>39</v>
      </c>
      <c r="C69" s="10" t="s">
        <v>211</v>
      </c>
      <c r="D69" s="10" t="s">
        <v>415</v>
      </c>
      <c r="E69" s="10" t="s">
        <v>416</v>
      </c>
      <c r="F69" s="10" t="str">
        <f t="shared" ref="F69:F100" si="2">B69&amp;"|"&amp;C69</f>
        <v>XR-P-TA0007|XR-P-TE0027</v>
      </c>
    </row>
    <row r="70" spans="1:6" ht="21.95" customHeight="1">
      <c r="A70" s="10" t="s">
        <v>481</v>
      </c>
      <c r="B70" s="10" t="s">
        <v>39</v>
      </c>
      <c r="C70" s="10" t="s">
        <v>216</v>
      </c>
      <c r="D70" s="10" t="s">
        <v>415</v>
      </c>
      <c r="E70" s="10" t="s">
        <v>416</v>
      </c>
      <c r="F70" s="10" t="str">
        <f t="shared" si="2"/>
        <v>XR-P-TA0007|XR-P-TE0028</v>
      </c>
    </row>
    <row r="71" spans="1:6" ht="21.95" customHeight="1">
      <c r="A71" s="10" t="s">
        <v>482</v>
      </c>
      <c r="B71" s="10" t="s">
        <v>43</v>
      </c>
      <c r="C71" s="10" t="s">
        <v>123</v>
      </c>
      <c r="D71" s="10" t="s">
        <v>415</v>
      </c>
      <c r="E71" s="10" t="s">
        <v>416</v>
      </c>
      <c r="F71" s="10" t="str">
        <f t="shared" si="2"/>
        <v>XR-P-TA0008|XR-P-TE0011</v>
      </c>
    </row>
    <row r="72" spans="1:6" ht="21.95" customHeight="1">
      <c r="A72" s="10" t="s">
        <v>483</v>
      </c>
      <c r="B72" s="10" t="s">
        <v>43</v>
      </c>
      <c r="C72" s="10" t="s">
        <v>129</v>
      </c>
      <c r="D72" s="10" t="s">
        <v>415</v>
      </c>
      <c r="E72" s="10" t="s">
        <v>416</v>
      </c>
      <c r="F72" s="10" t="str">
        <f t="shared" si="2"/>
        <v>XR-P-TA0008|XR-P-TE0012</v>
      </c>
    </row>
    <row r="73" spans="1:6" ht="21.95" customHeight="1">
      <c r="A73" s="10" t="s">
        <v>484</v>
      </c>
      <c r="B73" s="10" t="s">
        <v>43</v>
      </c>
      <c r="C73" s="10" t="s">
        <v>134</v>
      </c>
      <c r="D73" s="10" t="s">
        <v>415</v>
      </c>
      <c r="E73" s="10" t="s">
        <v>416</v>
      </c>
      <c r="F73" s="10" t="str">
        <f t="shared" si="2"/>
        <v>XR-P-TA0008|XR-P-TE0013</v>
      </c>
    </row>
    <row r="74" spans="1:6" ht="21.95" customHeight="1">
      <c r="A74" s="10" t="s">
        <v>485</v>
      </c>
      <c r="B74" s="10" t="s">
        <v>43</v>
      </c>
      <c r="C74" s="10" t="s">
        <v>139</v>
      </c>
      <c r="D74" s="10" t="s">
        <v>415</v>
      </c>
      <c r="E74" s="10" t="s">
        <v>416</v>
      </c>
      <c r="F74" s="10" t="str">
        <f t="shared" si="2"/>
        <v>XR-P-TA0008|XR-P-TE0014</v>
      </c>
    </row>
    <row r="75" spans="1:6" ht="21.95" customHeight="1">
      <c r="A75" s="10" t="s">
        <v>486</v>
      </c>
      <c r="B75" s="10" t="s">
        <v>43</v>
      </c>
      <c r="C75" s="10" t="s">
        <v>151</v>
      </c>
      <c r="D75" s="10" t="s">
        <v>415</v>
      </c>
      <c r="E75" s="10" t="s">
        <v>416</v>
      </c>
      <c r="F75" s="10" t="str">
        <f t="shared" si="2"/>
        <v>XR-P-TA0008|XR-P-TE0016</v>
      </c>
    </row>
    <row r="76" spans="1:6" ht="21.95" customHeight="1">
      <c r="A76" s="10" t="s">
        <v>487</v>
      </c>
      <c r="B76" s="10" t="s">
        <v>43</v>
      </c>
      <c r="C76" s="10" t="s">
        <v>181</v>
      </c>
      <c r="D76" s="10" t="s">
        <v>415</v>
      </c>
      <c r="E76" s="10" t="s">
        <v>416</v>
      </c>
      <c r="F76" s="10" t="str">
        <f t="shared" si="2"/>
        <v>XR-P-TA0008|XR-P-TE0022</v>
      </c>
    </row>
    <row r="77" spans="1:6" ht="21.95" customHeight="1">
      <c r="A77" s="10" t="s">
        <v>488</v>
      </c>
      <c r="B77" s="10" t="s">
        <v>43</v>
      </c>
      <c r="C77" s="10" t="s">
        <v>205</v>
      </c>
      <c r="D77" s="10" t="s">
        <v>415</v>
      </c>
      <c r="E77" s="10" t="s">
        <v>416</v>
      </c>
      <c r="F77" s="10" t="str">
        <f t="shared" si="2"/>
        <v>XR-P-TA0008|XR-P-TE0026</v>
      </c>
    </row>
    <row r="78" spans="1:6" ht="21.95" customHeight="1">
      <c r="A78" s="10" t="s">
        <v>489</v>
      </c>
      <c r="B78" s="10" t="s">
        <v>47</v>
      </c>
      <c r="C78" s="10" t="s">
        <v>123</v>
      </c>
      <c r="D78" s="10" t="s">
        <v>415</v>
      </c>
      <c r="E78" s="10" t="s">
        <v>416</v>
      </c>
      <c r="F78" s="10" t="str">
        <f t="shared" si="2"/>
        <v>XR-P-TA0009|XR-P-TE0011</v>
      </c>
    </row>
    <row r="79" spans="1:6" ht="21.95" customHeight="1">
      <c r="A79" s="10" t="s">
        <v>490</v>
      </c>
      <c r="B79" s="10" t="s">
        <v>47</v>
      </c>
      <c r="C79" s="10" t="s">
        <v>129</v>
      </c>
      <c r="D79" s="10" t="s">
        <v>415</v>
      </c>
      <c r="E79" s="10" t="s">
        <v>416</v>
      </c>
      <c r="F79" s="10" t="str">
        <f t="shared" si="2"/>
        <v>XR-P-TA0009|XR-P-TE0012</v>
      </c>
    </row>
    <row r="80" spans="1:6" ht="21.95" customHeight="1">
      <c r="A80" s="10" t="s">
        <v>491</v>
      </c>
      <c r="B80" s="10" t="s">
        <v>47</v>
      </c>
      <c r="C80" s="10" t="s">
        <v>139</v>
      </c>
      <c r="D80" s="10" t="s">
        <v>415</v>
      </c>
      <c r="E80" s="10" t="s">
        <v>416</v>
      </c>
      <c r="F80" s="10" t="str">
        <f t="shared" si="2"/>
        <v>XR-P-TA0009|XR-P-TE0014</v>
      </c>
    </row>
    <row r="81" spans="1:6" ht="21.95" customHeight="1">
      <c r="A81" s="10" t="s">
        <v>492</v>
      </c>
      <c r="B81" s="10" t="s">
        <v>47</v>
      </c>
      <c r="C81" s="10" t="s">
        <v>145</v>
      </c>
      <c r="D81" s="10" t="s">
        <v>415</v>
      </c>
      <c r="E81" s="10" t="s">
        <v>416</v>
      </c>
      <c r="F81" s="10" t="str">
        <f t="shared" si="2"/>
        <v>XR-P-TA0009|XR-P-TE0015</v>
      </c>
    </row>
    <row r="82" spans="1:6" ht="21.95" customHeight="1">
      <c r="A82" s="10" t="s">
        <v>493</v>
      </c>
      <c r="B82" s="10" t="s">
        <v>47</v>
      </c>
      <c r="C82" s="10" t="s">
        <v>151</v>
      </c>
      <c r="D82" s="10" t="s">
        <v>415</v>
      </c>
      <c r="E82" s="10" t="s">
        <v>416</v>
      </c>
      <c r="F82" s="10" t="str">
        <f t="shared" si="2"/>
        <v>XR-P-TA0009|XR-P-TE0016</v>
      </c>
    </row>
    <row r="83" spans="1:6" ht="21.95" customHeight="1">
      <c r="A83" s="10" t="s">
        <v>494</v>
      </c>
      <c r="B83" s="10" t="s">
        <v>47</v>
      </c>
      <c r="C83" s="10" t="s">
        <v>161</v>
      </c>
      <c r="D83" s="10" t="s">
        <v>415</v>
      </c>
      <c r="E83" s="10" t="s">
        <v>416</v>
      </c>
      <c r="F83" s="10" t="str">
        <f t="shared" si="2"/>
        <v>XR-P-TA0009|XR-P-TE0018</v>
      </c>
    </row>
    <row r="84" spans="1:6" ht="21.95" customHeight="1">
      <c r="A84" s="10" t="s">
        <v>495</v>
      </c>
      <c r="B84" s="10" t="s">
        <v>47</v>
      </c>
      <c r="C84" s="10" t="s">
        <v>194</v>
      </c>
      <c r="D84" s="10" t="s">
        <v>415</v>
      </c>
      <c r="E84" s="10" t="s">
        <v>416</v>
      </c>
      <c r="F84" s="10" t="str">
        <f t="shared" si="2"/>
        <v>XR-P-TA0009|XR-P-TE0024</v>
      </c>
    </row>
    <row r="85" spans="1:6" ht="21.95" customHeight="1">
      <c r="A85" s="10" t="s">
        <v>496</v>
      </c>
      <c r="B85" s="10" t="s">
        <v>47</v>
      </c>
      <c r="C85" s="10" t="s">
        <v>205</v>
      </c>
      <c r="D85" s="10" t="s">
        <v>415</v>
      </c>
      <c r="E85" s="10" t="s">
        <v>416</v>
      </c>
      <c r="F85" s="10" t="str">
        <f t="shared" si="2"/>
        <v>XR-P-TA0009|XR-P-TE0026</v>
      </c>
    </row>
    <row r="86" spans="1:6" ht="21.95" customHeight="1">
      <c r="A86" s="10" t="s">
        <v>497</v>
      </c>
      <c r="B86" s="10" t="s">
        <v>51</v>
      </c>
      <c r="C86" s="10" t="s">
        <v>129</v>
      </c>
      <c r="D86" s="10" t="s">
        <v>415</v>
      </c>
      <c r="E86" s="10" t="s">
        <v>416</v>
      </c>
      <c r="F86" s="10" t="str">
        <f t="shared" si="2"/>
        <v>XR-P-TA0010|XR-P-TE0012</v>
      </c>
    </row>
    <row r="87" spans="1:6" ht="21.95" customHeight="1">
      <c r="A87" s="10" t="s">
        <v>498</v>
      </c>
      <c r="B87" s="10" t="s">
        <v>51</v>
      </c>
      <c r="C87" s="10" t="s">
        <v>134</v>
      </c>
      <c r="D87" s="10" t="s">
        <v>415</v>
      </c>
      <c r="E87" s="10" t="s">
        <v>416</v>
      </c>
      <c r="F87" s="10" t="str">
        <f t="shared" si="2"/>
        <v>XR-P-TA0010|XR-P-TE0013</v>
      </c>
    </row>
    <row r="88" spans="1:6" ht="21.95" customHeight="1">
      <c r="A88" s="10" t="s">
        <v>499</v>
      </c>
      <c r="B88" s="10" t="s">
        <v>51</v>
      </c>
      <c r="C88" s="10" t="s">
        <v>188</v>
      </c>
      <c r="D88" s="10" t="s">
        <v>415</v>
      </c>
      <c r="E88" s="10" t="s">
        <v>416</v>
      </c>
      <c r="F88" s="10" t="str">
        <f t="shared" si="2"/>
        <v>XR-P-TA0010|XR-P-TE0023</v>
      </c>
    </row>
    <row r="89" spans="1:6" ht="21.95" customHeight="1">
      <c r="A89" s="10" t="s">
        <v>500</v>
      </c>
      <c r="B89" s="10" t="s">
        <v>51</v>
      </c>
      <c r="C89" s="10" t="s">
        <v>205</v>
      </c>
      <c r="D89" s="10" t="s">
        <v>415</v>
      </c>
      <c r="E89" s="10" t="s">
        <v>416</v>
      </c>
      <c r="F89" s="10" t="str">
        <f t="shared" si="2"/>
        <v>XR-P-TA0010|XR-P-TE0026</v>
      </c>
    </row>
    <row r="90" spans="1:6" ht="21.95" customHeight="1">
      <c r="A90" s="10" t="s">
        <v>501</v>
      </c>
      <c r="B90" s="10" t="s">
        <v>51</v>
      </c>
      <c r="C90" s="10" t="s">
        <v>211</v>
      </c>
      <c r="D90" s="10" t="s">
        <v>415</v>
      </c>
      <c r="E90" s="10" t="s">
        <v>416</v>
      </c>
      <c r="F90" s="10" t="str">
        <f t="shared" si="2"/>
        <v>XR-P-TA0010|XR-P-TE0027</v>
      </c>
    </row>
    <row r="91" spans="1:6" ht="21.95" customHeight="1">
      <c r="A91" s="10" t="s">
        <v>502</v>
      </c>
      <c r="B91" s="10" t="s">
        <v>51</v>
      </c>
      <c r="C91" s="10" t="s">
        <v>216</v>
      </c>
      <c r="D91" s="10" t="s">
        <v>415</v>
      </c>
      <c r="E91" s="10" t="s">
        <v>416</v>
      </c>
      <c r="F91" s="10" t="str">
        <f t="shared" si="2"/>
        <v>XR-P-TA0010|XR-P-TE0028</v>
      </c>
    </row>
    <row r="92" spans="1:6" ht="21.95" customHeight="1">
      <c r="A92" s="10" t="s">
        <v>503</v>
      </c>
      <c r="B92" s="10" t="s">
        <v>55</v>
      </c>
      <c r="C92" s="10" t="s">
        <v>84</v>
      </c>
      <c r="D92" s="10" t="s">
        <v>415</v>
      </c>
      <c r="E92" s="10" t="s">
        <v>416</v>
      </c>
      <c r="F92" s="10" t="str">
        <f t="shared" si="2"/>
        <v>XR-P-TA0011|XR-P-TE0004</v>
      </c>
    </row>
    <row r="93" spans="1:6" ht="21.95" customHeight="1">
      <c r="A93" s="10" t="s">
        <v>504</v>
      </c>
      <c r="B93" s="10" t="s">
        <v>55</v>
      </c>
      <c r="C93" s="10" t="s">
        <v>188</v>
      </c>
      <c r="D93" s="10" t="s">
        <v>415</v>
      </c>
      <c r="E93" s="10" t="s">
        <v>416</v>
      </c>
      <c r="F93" s="10" t="str">
        <f t="shared" si="2"/>
        <v>XR-P-TA0011|XR-P-TE0023</v>
      </c>
    </row>
    <row r="94" spans="1:6" ht="21.95" customHeight="1">
      <c r="A94" s="10" t="s">
        <v>505</v>
      </c>
      <c r="B94" s="10" t="s">
        <v>55</v>
      </c>
      <c r="C94" s="10" t="s">
        <v>216</v>
      </c>
      <c r="D94" s="10" t="s">
        <v>415</v>
      </c>
      <c r="E94" s="10" t="s">
        <v>416</v>
      </c>
      <c r="F94" s="10" t="str">
        <f t="shared" si="2"/>
        <v>XR-P-TA0011|XR-P-TE0028</v>
      </c>
    </row>
    <row r="95" spans="1:6" ht="21.95" customHeight="1">
      <c r="A95" s="10" t="s">
        <v>506</v>
      </c>
      <c r="B95" s="10" t="s">
        <v>59</v>
      </c>
      <c r="C95" s="10" t="s">
        <v>74</v>
      </c>
      <c r="D95" s="10" t="s">
        <v>415</v>
      </c>
      <c r="E95" s="10" t="s">
        <v>416</v>
      </c>
      <c r="F95" s="10" t="str">
        <f t="shared" si="2"/>
        <v>XR-P-TA0012|XR-P-TE0002</v>
      </c>
    </row>
    <row r="96" spans="1:6" ht="21.95" customHeight="1">
      <c r="A96" s="10" t="s">
        <v>507</v>
      </c>
      <c r="B96" s="10" t="s">
        <v>59</v>
      </c>
      <c r="C96" s="10" t="s">
        <v>79</v>
      </c>
      <c r="D96" s="10" t="s">
        <v>415</v>
      </c>
      <c r="E96" s="10" t="s">
        <v>416</v>
      </c>
      <c r="F96" s="10" t="str">
        <f t="shared" si="2"/>
        <v>XR-P-TA0012|XR-P-TE0003</v>
      </c>
    </row>
    <row r="97" spans="1:6" ht="21.95" customHeight="1">
      <c r="A97" s="10" t="s">
        <v>508</v>
      </c>
      <c r="B97" s="10" t="s">
        <v>59</v>
      </c>
      <c r="C97" s="10" t="s">
        <v>84</v>
      </c>
      <c r="D97" s="10" t="s">
        <v>415</v>
      </c>
      <c r="E97" s="10" t="s">
        <v>416</v>
      </c>
      <c r="F97" s="10" t="str">
        <f t="shared" si="2"/>
        <v>XR-P-TA0012|XR-P-TE0004</v>
      </c>
    </row>
    <row r="98" spans="1:6" ht="21.95" customHeight="1">
      <c r="A98" s="10" t="s">
        <v>509</v>
      </c>
      <c r="B98" s="10" t="s">
        <v>59</v>
      </c>
      <c r="C98" s="10" t="s">
        <v>181</v>
      </c>
      <c r="D98" s="10" t="s">
        <v>415</v>
      </c>
      <c r="E98" s="10" t="s">
        <v>416</v>
      </c>
      <c r="F98" s="10" t="str">
        <f t="shared" si="2"/>
        <v>XR-P-TA0012|XR-P-TE0022</v>
      </c>
    </row>
    <row r="99" spans="1:6" ht="21.95" customHeight="1">
      <c r="A99" s="10" t="s">
        <v>510</v>
      </c>
      <c r="B99" s="10" t="s">
        <v>59</v>
      </c>
      <c r="C99" s="10" t="s">
        <v>188</v>
      </c>
      <c r="D99" s="10" t="s">
        <v>415</v>
      </c>
      <c r="E99" s="10" t="s">
        <v>416</v>
      </c>
      <c r="F99" s="10" t="str">
        <f t="shared" si="2"/>
        <v>XR-P-TA0012|XR-P-TE0023</v>
      </c>
    </row>
    <row r="100" spans="1:6" ht="21.95" customHeight="1">
      <c r="A100" s="11" t="s">
        <v>511</v>
      </c>
      <c r="B100" s="11" t="s">
        <v>59</v>
      </c>
      <c r="C100" s="11" t="s">
        <v>216</v>
      </c>
      <c r="D100" s="11" t="s">
        <v>415</v>
      </c>
      <c r="E100" s="11" t="s">
        <v>416</v>
      </c>
      <c r="F100" s="11" t="str">
        <f t="shared" si="2"/>
        <v>XR-P-TA0012|XR-P-TE0028</v>
      </c>
    </row>
  </sheetData>
  <mergeCells count="2">
    <mergeCell ref="A1:F1"/>
    <mergeCell ref="A2:F2"/>
  </mergeCells>
  <phoneticPr fontId="6" type="noConversion"/>
  <dataValidations count="1">
    <dataValidation type="list" sqref="D5:D500" xr:uid="{00000000-0002-0000-0500-000000000000}">
      <formula1>"supports,primary,secondary"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"/>
  <sheetViews>
    <sheetView showGridLines="0" zoomScale="70" zoomScaleNormal="70" workbookViewId="0">
      <selection activeCell="H3" sqref="H1:H1048576"/>
    </sheetView>
  </sheetViews>
  <sheetFormatPr defaultRowHeight="14.25"/>
  <cols>
    <col min="1" max="3" width="22" customWidth="1"/>
    <col min="4" max="4" width="18" customWidth="1"/>
    <col min="5" max="5" width="14" customWidth="1"/>
    <col min="6" max="6" width="46" customWidth="1"/>
    <col min="7" max="7" width="48" customWidth="1"/>
  </cols>
  <sheetData>
    <row r="1" spans="1:7" ht="30" customHeight="1">
      <c r="A1" s="16" t="s">
        <v>512</v>
      </c>
      <c r="B1" s="16"/>
      <c r="C1" s="16"/>
      <c r="D1" s="16"/>
      <c r="E1" s="16"/>
      <c r="F1" s="16"/>
      <c r="G1" s="16"/>
    </row>
    <row r="2" spans="1:7" ht="38.1" customHeight="1">
      <c r="A2" s="18" t="s">
        <v>912</v>
      </c>
      <c r="B2" s="18"/>
      <c r="C2" s="18"/>
      <c r="D2" s="18"/>
      <c r="E2" s="18"/>
      <c r="F2" s="18"/>
      <c r="G2" s="18"/>
    </row>
    <row r="3" spans="1:7">
      <c r="A3" s="1"/>
      <c r="B3" s="1"/>
      <c r="C3" s="1"/>
      <c r="D3" s="1"/>
      <c r="E3" s="1"/>
      <c r="F3" s="1"/>
      <c r="G3" s="1"/>
    </row>
    <row r="4" spans="1:7" ht="33.950000000000003" customHeight="1">
      <c r="A4" s="2" t="s">
        <v>411</v>
      </c>
      <c r="B4" s="7" t="s">
        <v>64</v>
      </c>
      <c r="C4" s="7" t="s">
        <v>228</v>
      </c>
      <c r="D4" s="7" t="s">
        <v>412</v>
      </c>
      <c r="E4" s="7" t="s">
        <v>513</v>
      </c>
      <c r="F4" s="7" t="s">
        <v>514</v>
      </c>
      <c r="G4" s="7" t="s">
        <v>414</v>
      </c>
    </row>
    <row r="5" spans="1:7" ht="21.95" customHeight="1">
      <c r="A5" s="8" t="s">
        <v>4</v>
      </c>
      <c r="B5" s="8" t="s">
        <v>1</v>
      </c>
      <c r="C5" s="8" t="s">
        <v>284</v>
      </c>
      <c r="D5" s="8" t="s">
        <v>515</v>
      </c>
      <c r="E5" s="8">
        <v>1</v>
      </c>
      <c r="F5" s="8" t="s">
        <v>516</v>
      </c>
      <c r="G5" s="8" t="str">
        <f t="shared" ref="G5:G36" si="0">B5&amp;"|"&amp;C5&amp;"|"&amp;D5</f>
        <v>XR-P-TE0001|XR-P-PR0006|core</v>
      </c>
    </row>
    <row r="6" spans="1:7" ht="21.95" customHeight="1">
      <c r="A6" s="10" t="s">
        <v>517</v>
      </c>
      <c r="B6" s="10" t="s">
        <v>74</v>
      </c>
      <c r="C6" s="10" t="s">
        <v>295</v>
      </c>
      <c r="D6" s="10" t="s">
        <v>518</v>
      </c>
      <c r="E6" s="10">
        <v>1</v>
      </c>
      <c r="F6" s="10" t="s">
        <v>297</v>
      </c>
      <c r="G6" s="10" t="str">
        <f t="shared" si="0"/>
        <v>XR-P-TE0002|XR-P-PR0007|alternative</v>
      </c>
    </row>
    <row r="7" spans="1:7" ht="21.95" customHeight="1">
      <c r="A7" s="10" t="s">
        <v>519</v>
      </c>
      <c r="B7" s="10" t="s">
        <v>74</v>
      </c>
      <c r="C7" s="10" t="s">
        <v>305</v>
      </c>
      <c r="D7" s="10" t="s">
        <v>518</v>
      </c>
      <c r="E7" s="10">
        <v>2</v>
      </c>
      <c r="F7" s="10" t="s">
        <v>307</v>
      </c>
      <c r="G7" s="10" t="str">
        <f t="shared" si="0"/>
        <v>XR-P-TE0002|XR-P-PR0008|alternative</v>
      </c>
    </row>
    <row r="8" spans="1:7" ht="21.95" customHeight="1">
      <c r="A8" s="10" t="s">
        <v>520</v>
      </c>
      <c r="B8" s="10" t="s">
        <v>74</v>
      </c>
      <c r="C8" s="10" t="s">
        <v>284</v>
      </c>
      <c r="D8" s="10" t="s">
        <v>521</v>
      </c>
      <c r="E8" s="10">
        <v>3</v>
      </c>
      <c r="F8" s="10" t="s">
        <v>522</v>
      </c>
      <c r="G8" s="10" t="str">
        <f t="shared" si="0"/>
        <v>XR-P-TE0002|XR-P-PR0006|optional</v>
      </c>
    </row>
    <row r="9" spans="1:7" ht="21.95" customHeight="1">
      <c r="A9" s="10" t="s">
        <v>523</v>
      </c>
      <c r="B9" s="10" t="s">
        <v>79</v>
      </c>
      <c r="C9" s="10" t="s">
        <v>295</v>
      </c>
      <c r="D9" s="10" t="s">
        <v>518</v>
      </c>
      <c r="E9" s="10">
        <v>1</v>
      </c>
      <c r="F9" s="10" t="s">
        <v>524</v>
      </c>
      <c r="G9" s="10" t="str">
        <f t="shared" si="0"/>
        <v>XR-P-TE0003|XR-P-PR0007|alternative</v>
      </c>
    </row>
    <row r="10" spans="1:7" ht="21.95" customHeight="1">
      <c r="A10" s="10" t="s">
        <v>525</v>
      </c>
      <c r="B10" s="10" t="s">
        <v>79</v>
      </c>
      <c r="C10" s="10" t="s">
        <v>305</v>
      </c>
      <c r="D10" s="10" t="s">
        <v>518</v>
      </c>
      <c r="E10" s="10">
        <v>2</v>
      </c>
      <c r="F10" s="10" t="s">
        <v>526</v>
      </c>
      <c r="G10" s="10" t="str">
        <f t="shared" si="0"/>
        <v>XR-P-TE0003|XR-P-PR0008|alternative</v>
      </c>
    </row>
    <row r="11" spans="1:7" ht="21.95" customHeight="1">
      <c r="A11" s="10" t="s">
        <v>527</v>
      </c>
      <c r="B11" s="10" t="s">
        <v>79</v>
      </c>
      <c r="C11" s="10" t="s">
        <v>284</v>
      </c>
      <c r="D11" s="10" t="s">
        <v>521</v>
      </c>
      <c r="E11" s="10">
        <v>3</v>
      </c>
      <c r="F11" s="10" t="s">
        <v>528</v>
      </c>
      <c r="G11" s="10" t="str">
        <f t="shared" si="0"/>
        <v>XR-P-TE0003|XR-P-PR0006|optional</v>
      </c>
    </row>
    <row r="12" spans="1:7" ht="21.95" customHeight="1">
      <c r="A12" s="10" t="s">
        <v>529</v>
      </c>
      <c r="B12" s="10" t="s">
        <v>84</v>
      </c>
      <c r="C12" s="10" t="s">
        <v>313</v>
      </c>
      <c r="D12" s="10" t="s">
        <v>515</v>
      </c>
      <c r="E12" s="10">
        <v>1</v>
      </c>
      <c r="F12" s="10" t="s">
        <v>530</v>
      </c>
      <c r="G12" s="10" t="str">
        <f t="shared" si="0"/>
        <v>XR-P-TE0004|XR-P-PR0009|core</v>
      </c>
    </row>
    <row r="13" spans="1:7" ht="21.95" customHeight="1">
      <c r="A13" s="10" t="s">
        <v>531</v>
      </c>
      <c r="B13" s="10" t="s">
        <v>84</v>
      </c>
      <c r="C13" s="10" t="s">
        <v>349</v>
      </c>
      <c r="D13" s="10" t="s">
        <v>521</v>
      </c>
      <c r="E13" s="10">
        <v>2</v>
      </c>
      <c r="F13" s="10" t="s">
        <v>532</v>
      </c>
      <c r="G13" s="10" t="str">
        <f t="shared" si="0"/>
        <v>XR-P-TE0004|XR-P-PR0013|optional</v>
      </c>
    </row>
    <row r="14" spans="1:7" ht="21.95" customHeight="1">
      <c r="A14" s="10" t="s">
        <v>533</v>
      </c>
      <c r="B14" s="10" t="s">
        <v>90</v>
      </c>
      <c r="C14" s="10" t="s">
        <v>274</v>
      </c>
      <c r="D14" s="10" t="s">
        <v>515</v>
      </c>
      <c r="E14" s="10">
        <v>1</v>
      </c>
      <c r="F14" s="10" t="s">
        <v>534</v>
      </c>
      <c r="G14" s="10" t="str">
        <f t="shared" si="0"/>
        <v>XR-P-TE0005|XR-P-PR0005|core</v>
      </c>
    </row>
    <row r="15" spans="1:7" ht="21.95" customHeight="1">
      <c r="A15" s="10" t="s">
        <v>535</v>
      </c>
      <c r="B15" s="10" t="s">
        <v>90</v>
      </c>
      <c r="C15" s="10" t="s">
        <v>284</v>
      </c>
      <c r="D15" s="10" t="s">
        <v>515</v>
      </c>
      <c r="E15" s="10">
        <v>2</v>
      </c>
      <c r="F15" s="10" t="s">
        <v>536</v>
      </c>
      <c r="G15" s="10" t="str">
        <f t="shared" si="0"/>
        <v>XR-P-TE0005|XR-P-PR0006|core</v>
      </c>
    </row>
    <row r="16" spans="1:7" ht="21.95" customHeight="1">
      <c r="A16" s="10" t="s">
        <v>537</v>
      </c>
      <c r="B16" s="10" t="s">
        <v>96</v>
      </c>
      <c r="C16" s="10" t="s">
        <v>2</v>
      </c>
      <c r="D16" s="10" t="s">
        <v>515</v>
      </c>
      <c r="E16" s="10">
        <v>1</v>
      </c>
      <c r="F16" s="10" t="s">
        <v>538</v>
      </c>
      <c r="G16" s="10" t="str">
        <f t="shared" si="0"/>
        <v>XR-P-TE0006|XR-P-PR0001|core</v>
      </c>
    </row>
    <row r="17" spans="1:7" ht="21.95" customHeight="1">
      <c r="A17" s="10" t="s">
        <v>539</v>
      </c>
      <c r="B17" s="10" t="s">
        <v>96</v>
      </c>
      <c r="C17" s="10" t="s">
        <v>284</v>
      </c>
      <c r="D17" s="10" t="s">
        <v>515</v>
      </c>
      <c r="E17" s="10">
        <v>2</v>
      </c>
      <c r="F17" s="10" t="s">
        <v>540</v>
      </c>
      <c r="G17" s="10" t="str">
        <f t="shared" si="0"/>
        <v>XR-P-TE0006|XR-P-PR0006|core</v>
      </c>
    </row>
    <row r="18" spans="1:7" ht="21.95" customHeight="1">
      <c r="A18" s="10" t="s">
        <v>541</v>
      </c>
      <c r="B18" s="10" t="s">
        <v>96</v>
      </c>
      <c r="C18" s="10" t="s">
        <v>359</v>
      </c>
      <c r="D18" s="10" t="s">
        <v>515</v>
      </c>
      <c r="E18" s="10">
        <v>3</v>
      </c>
      <c r="F18" s="10" t="s">
        <v>542</v>
      </c>
      <c r="G18" s="10" t="str">
        <f t="shared" si="0"/>
        <v>XR-P-TE0006|XR-P-PR0014|core</v>
      </c>
    </row>
    <row r="19" spans="1:7" ht="21.95" customHeight="1">
      <c r="A19" s="10" t="s">
        <v>543</v>
      </c>
      <c r="B19" s="10" t="s">
        <v>102</v>
      </c>
      <c r="C19" s="10" t="s">
        <v>2</v>
      </c>
      <c r="D19" s="10" t="s">
        <v>515</v>
      </c>
      <c r="E19" s="10">
        <v>1</v>
      </c>
      <c r="F19" s="10" t="s">
        <v>544</v>
      </c>
      <c r="G19" s="10" t="str">
        <f t="shared" si="0"/>
        <v>XR-P-TE0007|XR-P-PR0001|core</v>
      </c>
    </row>
    <row r="20" spans="1:7" ht="21.95" customHeight="1">
      <c r="A20" s="10" t="s">
        <v>545</v>
      </c>
      <c r="B20" s="10" t="s">
        <v>102</v>
      </c>
      <c r="C20" s="10" t="s">
        <v>284</v>
      </c>
      <c r="D20" s="10" t="s">
        <v>515</v>
      </c>
      <c r="E20" s="10">
        <v>2</v>
      </c>
      <c r="F20" s="10" t="s">
        <v>546</v>
      </c>
      <c r="G20" s="10" t="str">
        <f t="shared" si="0"/>
        <v>XR-P-TE0007|XR-P-PR0006|core</v>
      </c>
    </row>
    <row r="21" spans="1:7" ht="21.95" customHeight="1">
      <c r="A21" s="10" t="s">
        <v>547</v>
      </c>
      <c r="B21" s="10" t="s">
        <v>102</v>
      </c>
      <c r="C21" s="10" t="s">
        <v>359</v>
      </c>
      <c r="D21" s="10" t="s">
        <v>515</v>
      </c>
      <c r="E21" s="10">
        <v>3</v>
      </c>
      <c r="F21" s="10" t="s">
        <v>548</v>
      </c>
      <c r="G21" s="10" t="str">
        <f t="shared" si="0"/>
        <v>XR-P-TE0007|XR-P-PR0014|core</v>
      </c>
    </row>
    <row r="22" spans="1:7" ht="21.95" customHeight="1">
      <c r="A22" s="10" t="s">
        <v>549</v>
      </c>
      <c r="B22" s="10" t="s">
        <v>107</v>
      </c>
      <c r="C22" s="10" t="s">
        <v>284</v>
      </c>
      <c r="D22" s="10" t="s">
        <v>515</v>
      </c>
      <c r="E22" s="10">
        <v>1</v>
      </c>
      <c r="F22" s="10" t="s">
        <v>550</v>
      </c>
      <c r="G22" s="10" t="str">
        <f t="shared" si="0"/>
        <v>XR-P-TE0008|XR-P-PR0006|core</v>
      </c>
    </row>
    <row r="23" spans="1:7" ht="21.95" customHeight="1">
      <c r="A23" s="10" t="s">
        <v>551</v>
      </c>
      <c r="B23" s="10" t="s">
        <v>107</v>
      </c>
      <c r="C23" s="10" t="s">
        <v>341</v>
      </c>
      <c r="D23" s="10" t="s">
        <v>521</v>
      </c>
      <c r="E23" s="10">
        <v>2</v>
      </c>
      <c r="F23" s="10" t="s">
        <v>552</v>
      </c>
      <c r="G23" s="10" t="str">
        <f t="shared" si="0"/>
        <v>XR-P-TE0008|XR-P-PR0012|optional</v>
      </c>
    </row>
    <row r="24" spans="1:7" ht="21.95" customHeight="1">
      <c r="A24" s="10" t="s">
        <v>553</v>
      </c>
      <c r="B24" s="10" t="s">
        <v>113</v>
      </c>
      <c r="C24" s="10" t="s">
        <v>284</v>
      </c>
      <c r="D24" s="10" t="s">
        <v>515</v>
      </c>
      <c r="E24" s="10">
        <v>1</v>
      </c>
      <c r="F24" s="10" t="s">
        <v>554</v>
      </c>
      <c r="G24" s="10" t="str">
        <f t="shared" si="0"/>
        <v>XR-P-TE0009|XR-P-PR0006|core</v>
      </c>
    </row>
    <row r="25" spans="1:7" ht="21.95" customHeight="1">
      <c r="A25" s="10" t="s">
        <v>555</v>
      </c>
      <c r="B25" s="10" t="s">
        <v>113</v>
      </c>
      <c r="C25" s="10" t="s">
        <v>341</v>
      </c>
      <c r="D25" s="10" t="s">
        <v>515</v>
      </c>
      <c r="E25" s="10">
        <v>2</v>
      </c>
      <c r="F25" s="10" t="s">
        <v>556</v>
      </c>
      <c r="G25" s="10" t="str">
        <f t="shared" si="0"/>
        <v>XR-P-TE0009|XR-P-PR0012|core</v>
      </c>
    </row>
    <row r="26" spans="1:7" ht="21.95" customHeight="1">
      <c r="A26" s="10" t="s">
        <v>557</v>
      </c>
      <c r="B26" s="10" t="s">
        <v>118</v>
      </c>
      <c r="C26" s="10" t="s">
        <v>295</v>
      </c>
      <c r="D26" s="10" t="s">
        <v>518</v>
      </c>
      <c r="E26" s="10">
        <v>1</v>
      </c>
      <c r="F26" s="10" t="s">
        <v>558</v>
      </c>
      <c r="G26" s="10" t="str">
        <f t="shared" si="0"/>
        <v>XR-P-TE0010|XR-P-PR0007|alternative</v>
      </c>
    </row>
    <row r="27" spans="1:7" ht="21.95" customHeight="1">
      <c r="A27" s="10" t="s">
        <v>559</v>
      </c>
      <c r="B27" s="10" t="s">
        <v>118</v>
      </c>
      <c r="C27" s="10" t="s">
        <v>305</v>
      </c>
      <c r="D27" s="10" t="s">
        <v>518</v>
      </c>
      <c r="E27" s="10">
        <v>2</v>
      </c>
      <c r="F27" s="10" t="s">
        <v>560</v>
      </c>
      <c r="G27" s="10" t="str">
        <f t="shared" si="0"/>
        <v>XR-P-TE0010|XR-P-PR0008|alternative</v>
      </c>
    </row>
    <row r="28" spans="1:7" ht="21.95" customHeight="1">
      <c r="A28" s="10" t="s">
        <v>561</v>
      </c>
      <c r="B28" s="10" t="s">
        <v>118</v>
      </c>
      <c r="C28" s="10" t="s">
        <v>284</v>
      </c>
      <c r="D28" s="10" t="s">
        <v>521</v>
      </c>
      <c r="E28" s="10">
        <v>3</v>
      </c>
      <c r="F28" s="10" t="s">
        <v>562</v>
      </c>
      <c r="G28" s="10" t="str">
        <f t="shared" si="0"/>
        <v>XR-P-TE0010|XR-P-PR0006|optional</v>
      </c>
    </row>
    <row r="29" spans="1:7" ht="21.95" customHeight="1">
      <c r="A29" s="10" t="s">
        <v>563</v>
      </c>
      <c r="B29" s="10" t="s">
        <v>123</v>
      </c>
      <c r="C29" s="10" t="s">
        <v>246</v>
      </c>
      <c r="D29" s="10" t="s">
        <v>515</v>
      </c>
      <c r="E29" s="10">
        <v>1</v>
      </c>
      <c r="F29" s="10" t="s">
        <v>564</v>
      </c>
      <c r="G29" s="10" t="str">
        <f t="shared" si="0"/>
        <v>XR-P-TE0011|XR-P-PR0002|core</v>
      </c>
    </row>
    <row r="30" spans="1:7" ht="21.95" customHeight="1">
      <c r="A30" s="10" t="s">
        <v>565</v>
      </c>
      <c r="B30" s="10" t="s">
        <v>123</v>
      </c>
      <c r="C30" s="10" t="s">
        <v>284</v>
      </c>
      <c r="D30" s="10" t="s">
        <v>515</v>
      </c>
      <c r="E30" s="10">
        <v>2</v>
      </c>
      <c r="F30" s="10" t="s">
        <v>566</v>
      </c>
      <c r="G30" s="10" t="str">
        <f t="shared" si="0"/>
        <v>XR-P-TE0011|XR-P-PR0006|core</v>
      </c>
    </row>
    <row r="31" spans="1:7" ht="21.95" customHeight="1">
      <c r="A31" s="10" t="s">
        <v>567</v>
      </c>
      <c r="B31" s="10" t="s">
        <v>123</v>
      </c>
      <c r="C31" s="10" t="s">
        <v>359</v>
      </c>
      <c r="D31" s="10" t="s">
        <v>515</v>
      </c>
      <c r="E31" s="10">
        <v>3</v>
      </c>
      <c r="F31" s="10" t="s">
        <v>568</v>
      </c>
      <c r="G31" s="10" t="str">
        <f t="shared" si="0"/>
        <v>XR-P-TE0011|XR-P-PR0014|core</v>
      </c>
    </row>
    <row r="32" spans="1:7" ht="21.95" customHeight="1">
      <c r="A32" s="10" t="s">
        <v>569</v>
      </c>
      <c r="B32" s="10" t="s">
        <v>129</v>
      </c>
      <c r="C32" s="10" t="s">
        <v>331</v>
      </c>
      <c r="D32" s="10" t="s">
        <v>515</v>
      </c>
      <c r="E32" s="10">
        <v>1</v>
      </c>
      <c r="F32" s="10" t="s">
        <v>570</v>
      </c>
      <c r="G32" s="10" t="str">
        <f t="shared" si="0"/>
        <v>XR-P-TE0012|XR-P-PR0011|core</v>
      </c>
    </row>
    <row r="33" spans="1:7" ht="21.95" customHeight="1">
      <c r="A33" s="10" t="s">
        <v>571</v>
      </c>
      <c r="B33" s="10" t="s">
        <v>134</v>
      </c>
      <c r="C33" s="10" t="s">
        <v>284</v>
      </c>
      <c r="D33" s="10" t="s">
        <v>515</v>
      </c>
      <c r="E33" s="10">
        <v>1</v>
      </c>
      <c r="F33" s="10" t="s">
        <v>572</v>
      </c>
      <c r="G33" s="10" t="str">
        <f t="shared" si="0"/>
        <v>XR-P-TE0013|XR-P-PR0006|core</v>
      </c>
    </row>
    <row r="34" spans="1:7" ht="21.95" customHeight="1">
      <c r="A34" s="10" t="s">
        <v>573</v>
      </c>
      <c r="B34" s="10" t="s">
        <v>139</v>
      </c>
      <c r="C34" s="10" t="s">
        <v>284</v>
      </c>
      <c r="D34" s="10" t="s">
        <v>515</v>
      </c>
      <c r="E34" s="10">
        <v>1</v>
      </c>
      <c r="F34" s="10" t="s">
        <v>574</v>
      </c>
      <c r="G34" s="10" t="str">
        <f t="shared" si="0"/>
        <v>XR-P-TE0014|XR-P-PR0006|core</v>
      </c>
    </row>
    <row r="35" spans="1:7" ht="21.95" customHeight="1">
      <c r="A35" s="10" t="s">
        <v>575</v>
      </c>
      <c r="B35" s="10" t="s">
        <v>139</v>
      </c>
      <c r="C35" s="10" t="s">
        <v>322</v>
      </c>
      <c r="D35" s="10" t="s">
        <v>521</v>
      </c>
      <c r="E35" s="10">
        <v>2</v>
      </c>
      <c r="F35" s="10" t="s">
        <v>576</v>
      </c>
      <c r="G35" s="10" t="str">
        <f t="shared" si="0"/>
        <v>XR-P-TE0014|XR-P-PR0010|optional</v>
      </c>
    </row>
    <row r="36" spans="1:7" ht="21.95" customHeight="1">
      <c r="A36" s="10" t="s">
        <v>577</v>
      </c>
      <c r="B36" s="10" t="s">
        <v>145</v>
      </c>
      <c r="C36" s="10" t="s">
        <v>255</v>
      </c>
      <c r="D36" s="10" t="s">
        <v>515</v>
      </c>
      <c r="E36" s="10">
        <v>1</v>
      </c>
      <c r="F36" s="10" t="s">
        <v>578</v>
      </c>
      <c r="G36" s="10" t="str">
        <f t="shared" si="0"/>
        <v>XR-P-TE0015|XR-P-PR0003|core</v>
      </c>
    </row>
    <row r="37" spans="1:7" ht="21.95" customHeight="1">
      <c r="A37" s="10" t="s">
        <v>579</v>
      </c>
      <c r="B37" s="10" t="s">
        <v>145</v>
      </c>
      <c r="C37" s="10" t="s">
        <v>349</v>
      </c>
      <c r="D37" s="10" t="s">
        <v>515</v>
      </c>
      <c r="E37" s="10">
        <v>2</v>
      </c>
      <c r="F37" s="10" t="s">
        <v>580</v>
      </c>
      <c r="G37" s="10" t="str">
        <f t="shared" ref="G37:G73" si="1">B37&amp;"|"&amp;C37&amp;"|"&amp;D37</f>
        <v>XR-P-TE0015|XR-P-PR0013|core</v>
      </c>
    </row>
    <row r="38" spans="1:7" ht="21.95" customHeight="1">
      <c r="A38" s="10" t="s">
        <v>581</v>
      </c>
      <c r="B38" s="10" t="s">
        <v>145</v>
      </c>
      <c r="C38" s="10" t="s">
        <v>284</v>
      </c>
      <c r="D38" s="10" t="s">
        <v>515</v>
      </c>
      <c r="E38" s="10">
        <v>3</v>
      </c>
      <c r="F38" s="10" t="s">
        <v>582</v>
      </c>
      <c r="G38" s="10" t="str">
        <f t="shared" si="1"/>
        <v>XR-P-TE0015|XR-P-PR0006|core</v>
      </c>
    </row>
    <row r="39" spans="1:7" ht="21.95" customHeight="1">
      <c r="A39" s="10" t="s">
        <v>583</v>
      </c>
      <c r="B39" s="10" t="s">
        <v>145</v>
      </c>
      <c r="C39" s="10" t="s">
        <v>359</v>
      </c>
      <c r="D39" s="10" t="s">
        <v>515</v>
      </c>
      <c r="E39" s="10">
        <v>4</v>
      </c>
      <c r="F39" s="10" t="s">
        <v>584</v>
      </c>
      <c r="G39" s="10" t="str">
        <f t="shared" si="1"/>
        <v>XR-P-TE0015|XR-P-PR0014|core</v>
      </c>
    </row>
    <row r="40" spans="1:7" ht="21.95" customHeight="1">
      <c r="A40" s="10" t="s">
        <v>585</v>
      </c>
      <c r="B40" s="10" t="s">
        <v>151</v>
      </c>
      <c r="C40" s="10" t="s">
        <v>284</v>
      </c>
      <c r="D40" s="10" t="s">
        <v>515</v>
      </c>
      <c r="E40" s="10">
        <v>1</v>
      </c>
      <c r="F40" s="10" t="s">
        <v>586</v>
      </c>
      <c r="G40" s="10" t="str">
        <f t="shared" si="1"/>
        <v>XR-P-TE0016|XR-P-PR0006|core</v>
      </c>
    </row>
    <row r="41" spans="1:7" ht="21.95" customHeight="1">
      <c r="A41" s="10" t="s">
        <v>587</v>
      </c>
      <c r="B41" s="10" t="s">
        <v>157</v>
      </c>
      <c r="C41" s="10" t="s">
        <v>284</v>
      </c>
      <c r="D41" s="10" t="s">
        <v>515</v>
      </c>
      <c r="E41" s="10">
        <v>1</v>
      </c>
      <c r="F41" s="10" t="s">
        <v>588</v>
      </c>
      <c r="G41" s="10" t="str">
        <f t="shared" si="1"/>
        <v>XR-P-TE0017|XR-P-PR0006|core</v>
      </c>
    </row>
    <row r="42" spans="1:7" ht="21.95" customHeight="1">
      <c r="A42" s="10" t="s">
        <v>589</v>
      </c>
      <c r="B42" s="10" t="s">
        <v>161</v>
      </c>
      <c r="C42" s="10" t="s">
        <v>349</v>
      </c>
      <c r="D42" s="10" t="s">
        <v>515</v>
      </c>
      <c r="E42" s="10">
        <v>1</v>
      </c>
      <c r="F42" s="10" t="s">
        <v>590</v>
      </c>
      <c r="G42" s="10" t="str">
        <f t="shared" si="1"/>
        <v>XR-P-TE0018|XR-P-PR0013|core</v>
      </c>
    </row>
    <row r="43" spans="1:7" ht="21.95" customHeight="1">
      <c r="A43" s="10" t="s">
        <v>591</v>
      </c>
      <c r="B43" s="10" t="s">
        <v>161</v>
      </c>
      <c r="C43" s="10" t="s">
        <v>284</v>
      </c>
      <c r="D43" s="10" t="s">
        <v>515</v>
      </c>
      <c r="E43" s="10">
        <v>2</v>
      </c>
      <c r="F43" s="10" t="s">
        <v>592</v>
      </c>
      <c r="G43" s="10" t="str">
        <f t="shared" si="1"/>
        <v>XR-P-TE0018|XR-P-PR0006|core</v>
      </c>
    </row>
    <row r="44" spans="1:7" ht="21.95" customHeight="1">
      <c r="A44" s="10" t="s">
        <v>593</v>
      </c>
      <c r="B44" s="10" t="s">
        <v>161</v>
      </c>
      <c r="C44" s="10" t="s">
        <v>390</v>
      </c>
      <c r="D44" s="10" t="s">
        <v>521</v>
      </c>
      <c r="E44" s="10">
        <v>3</v>
      </c>
      <c r="F44" s="10" t="s">
        <v>594</v>
      </c>
      <c r="G44" s="10" t="str">
        <f t="shared" si="1"/>
        <v>XR-P-TE0018|XR-P-PR0017|optional</v>
      </c>
    </row>
    <row r="45" spans="1:7" ht="21.95" customHeight="1">
      <c r="A45" s="10" t="s">
        <v>595</v>
      </c>
      <c r="B45" s="10" t="s">
        <v>167</v>
      </c>
      <c r="C45" s="10" t="s">
        <v>255</v>
      </c>
      <c r="D45" s="10" t="s">
        <v>515</v>
      </c>
      <c r="E45" s="10">
        <v>1</v>
      </c>
      <c r="F45" s="10" t="s">
        <v>578</v>
      </c>
      <c r="G45" s="10" t="str">
        <f t="shared" si="1"/>
        <v>XR-P-TE0019|XR-P-PR0003|core</v>
      </c>
    </row>
    <row r="46" spans="1:7" ht="21.95" customHeight="1">
      <c r="A46" s="10" t="s">
        <v>596</v>
      </c>
      <c r="B46" s="10" t="s">
        <v>167</v>
      </c>
      <c r="C46" s="10" t="s">
        <v>349</v>
      </c>
      <c r="D46" s="10" t="s">
        <v>515</v>
      </c>
      <c r="E46" s="10">
        <v>2</v>
      </c>
      <c r="F46" s="10" t="s">
        <v>580</v>
      </c>
      <c r="G46" s="10" t="str">
        <f t="shared" si="1"/>
        <v>XR-P-TE0019|XR-P-PR0013|core</v>
      </c>
    </row>
    <row r="47" spans="1:7" ht="21.95" customHeight="1">
      <c r="A47" s="10" t="s">
        <v>597</v>
      </c>
      <c r="B47" s="10" t="s">
        <v>167</v>
      </c>
      <c r="C47" s="10" t="s">
        <v>284</v>
      </c>
      <c r="D47" s="10" t="s">
        <v>515</v>
      </c>
      <c r="E47" s="10">
        <v>3</v>
      </c>
      <c r="F47" s="10" t="s">
        <v>598</v>
      </c>
      <c r="G47" s="10" t="str">
        <f t="shared" si="1"/>
        <v>XR-P-TE0019|XR-P-PR0006|core</v>
      </c>
    </row>
    <row r="48" spans="1:7" ht="21.95" customHeight="1">
      <c r="A48" s="10" t="s">
        <v>599</v>
      </c>
      <c r="B48" s="10" t="s">
        <v>167</v>
      </c>
      <c r="C48" s="10" t="s">
        <v>359</v>
      </c>
      <c r="D48" s="10" t="s">
        <v>515</v>
      </c>
      <c r="E48" s="10">
        <v>4</v>
      </c>
      <c r="F48" s="10" t="s">
        <v>584</v>
      </c>
      <c r="G48" s="10" t="str">
        <f t="shared" si="1"/>
        <v>XR-P-TE0019|XR-P-PR0014|core</v>
      </c>
    </row>
    <row r="49" spans="1:7" ht="21.95" customHeight="1">
      <c r="A49" s="10" t="s">
        <v>600</v>
      </c>
      <c r="B49" s="10" t="s">
        <v>172</v>
      </c>
      <c r="C49" s="10" t="s">
        <v>264</v>
      </c>
      <c r="D49" s="10" t="s">
        <v>515</v>
      </c>
      <c r="E49" s="10">
        <v>1</v>
      </c>
      <c r="F49" s="10" t="s">
        <v>266</v>
      </c>
      <c r="G49" s="10" t="str">
        <f t="shared" si="1"/>
        <v>XR-P-TE0020|XR-P-PR0004|core</v>
      </c>
    </row>
    <row r="50" spans="1:7" ht="21.95" customHeight="1">
      <c r="A50" s="10" t="s">
        <v>601</v>
      </c>
      <c r="B50" s="10" t="s">
        <v>176</v>
      </c>
      <c r="C50" s="10" t="s">
        <v>255</v>
      </c>
      <c r="D50" s="10" t="s">
        <v>518</v>
      </c>
      <c r="E50" s="10">
        <v>1</v>
      </c>
      <c r="F50" s="10" t="s">
        <v>602</v>
      </c>
      <c r="G50" s="10" t="str">
        <f t="shared" si="1"/>
        <v>XR-P-TE0021|XR-P-PR0003|alternative</v>
      </c>
    </row>
    <row r="51" spans="1:7" ht="21.95" customHeight="1">
      <c r="A51" s="10" t="s">
        <v>603</v>
      </c>
      <c r="B51" s="10" t="s">
        <v>176</v>
      </c>
      <c r="C51" s="10" t="s">
        <v>264</v>
      </c>
      <c r="D51" s="10" t="s">
        <v>518</v>
      </c>
      <c r="E51" s="10">
        <v>2</v>
      </c>
      <c r="F51" s="10" t="s">
        <v>604</v>
      </c>
      <c r="G51" s="10" t="str">
        <f t="shared" si="1"/>
        <v>XR-P-TE0021|XR-P-PR0004|alternative</v>
      </c>
    </row>
    <row r="52" spans="1:7" ht="21.95" customHeight="1">
      <c r="A52" s="10" t="s">
        <v>605</v>
      </c>
      <c r="B52" s="10" t="s">
        <v>176</v>
      </c>
      <c r="C52" s="10" t="s">
        <v>349</v>
      </c>
      <c r="D52" s="10" t="s">
        <v>515</v>
      </c>
      <c r="E52" s="10">
        <v>3</v>
      </c>
      <c r="F52" s="10" t="s">
        <v>606</v>
      </c>
      <c r="G52" s="10" t="str">
        <f t="shared" si="1"/>
        <v>XR-P-TE0021|XR-P-PR0013|core</v>
      </c>
    </row>
    <row r="53" spans="1:7" ht="21.95" customHeight="1">
      <c r="A53" s="10" t="s">
        <v>607</v>
      </c>
      <c r="B53" s="10" t="s">
        <v>181</v>
      </c>
      <c r="C53" s="10" t="s">
        <v>322</v>
      </c>
      <c r="D53" s="10" t="s">
        <v>515</v>
      </c>
      <c r="E53" s="10">
        <v>1</v>
      </c>
      <c r="F53" s="10" t="s">
        <v>187</v>
      </c>
      <c r="G53" s="10" t="str">
        <f t="shared" si="1"/>
        <v>XR-P-TE0022|XR-P-PR0010|core</v>
      </c>
    </row>
    <row r="54" spans="1:7" ht="21.95" customHeight="1">
      <c r="A54" s="10" t="s">
        <v>608</v>
      </c>
      <c r="B54" s="10" t="s">
        <v>188</v>
      </c>
      <c r="C54" s="10" t="s">
        <v>313</v>
      </c>
      <c r="D54" s="10" t="s">
        <v>515</v>
      </c>
      <c r="E54" s="10">
        <v>1</v>
      </c>
      <c r="F54" s="10" t="s">
        <v>89</v>
      </c>
      <c r="G54" s="10" t="str">
        <f t="shared" si="1"/>
        <v>XR-P-TE0023|XR-P-PR0009|core</v>
      </c>
    </row>
    <row r="55" spans="1:7" ht="21.95" customHeight="1">
      <c r="A55" s="10" t="s">
        <v>609</v>
      </c>
      <c r="B55" s="10" t="s">
        <v>188</v>
      </c>
      <c r="C55" s="10" t="s">
        <v>400</v>
      </c>
      <c r="D55" s="10" t="s">
        <v>515</v>
      </c>
      <c r="E55" s="10">
        <v>2</v>
      </c>
      <c r="F55" s="10" t="s">
        <v>610</v>
      </c>
      <c r="G55" s="10" t="str">
        <f t="shared" si="1"/>
        <v>XR-P-TE0023|XR-P-PR0018|core</v>
      </c>
    </row>
    <row r="56" spans="1:7" ht="21.95" customHeight="1">
      <c r="A56" s="10" t="s">
        <v>611</v>
      </c>
      <c r="B56" s="10" t="s">
        <v>188</v>
      </c>
      <c r="C56" s="10" t="s">
        <v>295</v>
      </c>
      <c r="D56" s="10" t="s">
        <v>521</v>
      </c>
      <c r="E56" s="10">
        <v>3</v>
      </c>
      <c r="F56" s="10" t="s">
        <v>612</v>
      </c>
      <c r="G56" s="10" t="str">
        <f t="shared" si="1"/>
        <v>XR-P-TE0023|XR-P-PR0007|optional</v>
      </c>
    </row>
    <row r="57" spans="1:7" ht="21.95" customHeight="1">
      <c r="A57" s="10" t="s">
        <v>613</v>
      </c>
      <c r="B57" s="10" t="s">
        <v>194</v>
      </c>
      <c r="C57" s="10" t="s">
        <v>349</v>
      </c>
      <c r="D57" s="10" t="s">
        <v>515</v>
      </c>
      <c r="E57" s="10">
        <v>1</v>
      </c>
      <c r="F57" s="10" t="s">
        <v>614</v>
      </c>
      <c r="G57" s="10" t="str">
        <f t="shared" si="1"/>
        <v>XR-P-TE0024|XR-P-PR0013|core</v>
      </c>
    </row>
    <row r="58" spans="1:7" ht="21.95" customHeight="1">
      <c r="A58" s="10" t="s">
        <v>615</v>
      </c>
      <c r="B58" s="10" t="s">
        <v>194</v>
      </c>
      <c r="C58" s="10" t="s">
        <v>284</v>
      </c>
      <c r="D58" s="10" t="s">
        <v>515</v>
      </c>
      <c r="E58" s="10">
        <v>2</v>
      </c>
      <c r="F58" s="10" t="s">
        <v>616</v>
      </c>
      <c r="G58" s="10" t="str">
        <f t="shared" si="1"/>
        <v>XR-P-TE0024|XR-P-PR0006|core</v>
      </c>
    </row>
    <row r="59" spans="1:7" ht="21.95" customHeight="1">
      <c r="A59" s="10" t="s">
        <v>617</v>
      </c>
      <c r="B59" s="10" t="s">
        <v>199</v>
      </c>
      <c r="C59" s="10" t="s">
        <v>284</v>
      </c>
      <c r="D59" s="10" t="s">
        <v>515</v>
      </c>
      <c r="E59" s="10">
        <v>1</v>
      </c>
      <c r="F59" s="10" t="s">
        <v>618</v>
      </c>
      <c r="G59" s="10" t="str">
        <f t="shared" si="1"/>
        <v>XR-P-TE0025|XR-P-PR0006|core</v>
      </c>
    </row>
    <row r="60" spans="1:7" ht="21.95" customHeight="1">
      <c r="A60" s="10" t="s">
        <v>619</v>
      </c>
      <c r="B60" s="10" t="s">
        <v>199</v>
      </c>
      <c r="C60" s="10" t="s">
        <v>295</v>
      </c>
      <c r="D60" s="10" t="s">
        <v>521</v>
      </c>
      <c r="E60" s="10">
        <v>2</v>
      </c>
      <c r="F60" s="10" t="s">
        <v>620</v>
      </c>
      <c r="G60" s="10" t="str">
        <f t="shared" si="1"/>
        <v>XR-P-TE0025|XR-P-PR0007|optional</v>
      </c>
    </row>
    <row r="61" spans="1:7" ht="21.95" customHeight="1">
      <c r="A61" s="10" t="s">
        <v>621</v>
      </c>
      <c r="B61" s="10" t="s">
        <v>199</v>
      </c>
      <c r="C61" s="10" t="s">
        <v>305</v>
      </c>
      <c r="D61" s="10" t="s">
        <v>521</v>
      </c>
      <c r="E61" s="10">
        <v>3</v>
      </c>
      <c r="F61" s="10" t="s">
        <v>622</v>
      </c>
      <c r="G61" s="10" t="str">
        <f t="shared" si="1"/>
        <v>XR-P-TE0025|XR-P-PR0008|optional</v>
      </c>
    </row>
    <row r="62" spans="1:7" ht="21.95" customHeight="1">
      <c r="A62" s="10" t="s">
        <v>623</v>
      </c>
      <c r="B62" s="10" t="s">
        <v>205</v>
      </c>
      <c r="C62" s="10" t="s">
        <v>284</v>
      </c>
      <c r="D62" s="10" t="s">
        <v>515</v>
      </c>
      <c r="E62" s="10">
        <v>1</v>
      </c>
      <c r="F62" s="10" t="s">
        <v>624</v>
      </c>
      <c r="G62" s="10" t="str">
        <f t="shared" si="1"/>
        <v>XR-P-TE0026|XR-P-PR0006|core</v>
      </c>
    </row>
    <row r="63" spans="1:7" ht="21.95" customHeight="1">
      <c r="A63" s="10" t="s">
        <v>625</v>
      </c>
      <c r="B63" s="10" t="s">
        <v>205</v>
      </c>
      <c r="C63" s="10" t="s">
        <v>400</v>
      </c>
      <c r="D63" s="10" t="s">
        <v>515</v>
      </c>
      <c r="E63" s="10">
        <v>2</v>
      </c>
      <c r="F63" s="10" t="s">
        <v>626</v>
      </c>
      <c r="G63" s="10" t="str">
        <f t="shared" si="1"/>
        <v>XR-P-TE0026|XR-P-PR0018|core</v>
      </c>
    </row>
    <row r="64" spans="1:7" ht="21.95" customHeight="1">
      <c r="A64" s="10" t="s">
        <v>627</v>
      </c>
      <c r="B64" s="10" t="s">
        <v>211</v>
      </c>
      <c r="C64" s="10" t="s">
        <v>400</v>
      </c>
      <c r="D64" s="10" t="s">
        <v>515</v>
      </c>
      <c r="E64" s="10">
        <v>1</v>
      </c>
      <c r="F64" s="10" t="s">
        <v>628</v>
      </c>
      <c r="G64" s="10" t="str">
        <f t="shared" si="1"/>
        <v>XR-P-TE0027|XR-P-PR0018|core</v>
      </c>
    </row>
    <row r="65" spans="1:7" ht="21.95" customHeight="1">
      <c r="A65" s="10" t="s">
        <v>629</v>
      </c>
      <c r="B65" s="10" t="s">
        <v>216</v>
      </c>
      <c r="C65" s="10" t="s">
        <v>284</v>
      </c>
      <c r="D65" s="10" t="s">
        <v>515</v>
      </c>
      <c r="E65" s="10">
        <v>1</v>
      </c>
      <c r="F65" s="10" t="s">
        <v>630</v>
      </c>
      <c r="G65" s="10" t="str">
        <f t="shared" si="1"/>
        <v>XR-P-TE0028|XR-P-PR0006|core</v>
      </c>
    </row>
    <row r="66" spans="1:7" ht="21.95" customHeight="1">
      <c r="A66" s="10" t="s">
        <v>631</v>
      </c>
      <c r="B66" s="10" t="s">
        <v>216</v>
      </c>
      <c r="C66" s="10" t="s">
        <v>400</v>
      </c>
      <c r="D66" s="10" t="s">
        <v>515</v>
      </c>
      <c r="E66" s="10">
        <v>2</v>
      </c>
      <c r="F66" s="10" t="s">
        <v>632</v>
      </c>
      <c r="G66" s="10" t="str">
        <f t="shared" si="1"/>
        <v>XR-P-TE0028|XR-P-PR0018|core</v>
      </c>
    </row>
    <row r="67" spans="1:7" ht="21.95" customHeight="1">
      <c r="A67" s="10" t="s">
        <v>633</v>
      </c>
      <c r="B67" s="10" t="s">
        <v>216</v>
      </c>
      <c r="C67" s="10" t="s">
        <v>313</v>
      </c>
      <c r="D67" s="10" t="s">
        <v>521</v>
      </c>
      <c r="E67" s="10">
        <v>3</v>
      </c>
      <c r="F67" s="10" t="s">
        <v>634</v>
      </c>
      <c r="G67" s="10" t="str">
        <f t="shared" si="1"/>
        <v>XR-P-TE0028|XR-P-PR0009|optional</v>
      </c>
    </row>
    <row r="68" spans="1:7" ht="21.95" customHeight="1">
      <c r="A68" s="10" t="s">
        <v>635</v>
      </c>
      <c r="B68" s="10" t="s">
        <v>216</v>
      </c>
      <c r="C68" s="10" t="s">
        <v>295</v>
      </c>
      <c r="D68" s="10" t="s">
        <v>521</v>
      </c>
      <c r="E68" s="10">
        <v>4</v>
      </c>
      <c r="F68" s="10" t="s">
        <v>636</v>
      </c>
      <c r="G68" s="10" t="str">
        <f t="shared" si="1"/>
        <v>XR-P-TE0028|XR-P-PR0007|optional</v>
      </c>
    </row>
    <row r="69" spans="1:7" ht="21.95" customHeight="1">
      <c r="A69" s="10" t="s">
        <v>637</v>
      </c>
      <c r="B69" s="10" t="s">
        <v>216</v>
      </c>
      <c r="C69" s="10" t="s">
        <v>305</v>
      </c>
      <c r="D69" s="10" t="s">
        <v>521</v>
      </c>
      <c r="E69" s="10">
        <v>5</v>
      </c>
      <c r="F69" s="10" t="s">
        <v>638</v>
      </c>
      <c r="G69" s="10" t="str">
        <f t="shared" si="1"/>
        <v>XR-P-TE0028|XR-P-PR0008|optional</v>
      </c>
    </row>
    <row r="70" spans="1:7" ht="21.95" customHeight="1">
      <c r="A70" s="10" t="s">
        <v>639</v>
      </c>
      <c r="B70" s="10" t="s">
        <v>222</v>
      </c>
      <c r="C70" s="10" t="s">
        <v>370</v>
      </c>
      <c r="D70" s="10" t="s">
        <v>515</v>
      </c>
      <c r="E70" s="10">
        <v>1</v>
      </c>
      <c r="F70" s="10" t="s">
        <v>640</v>
      </c>
      <c r="G70" s="10" t="str">
        <f t="shared" si="1"/>
        <v>XR-P-TE0029|XR-P-PR0015|core</v>
      </c>
    </row>
    <row r="71" spans="1:7" ht="21.95" customHeight="1">
      <c r="A71" s="10" t="s">
        <v>641</v>
      </c>
      <c r="B71" s="10" t="s">
        <v>222</v>
      </c>
      <c r="C71" s="10" t="s">
        <v>381</v>
      </c>
      <c r="D71" s="10" t="s">
        <v>515</v>
      </c>
      <c r="E71" s="10">
        <v>2</v>
      </c>
      <c r="F71" s="10" t="s">
        <v>642</v>
      </c>
      <c r="G71" s="10" t="str">
        <f t="shared" si="1"/>
        <v>XR-P-TE0029|XR-P-PR0016|core</v>
      </c>
    </row>
    <row r="72" spans="1:7" ht="21.95" customHeight="1">
      <c r="A72" s="10" t="s">
        <v>643</v>
      </c>
      <c r="B72" s="10" t="s">
        <v>222</v>
      </c>
      <c r="C72" s="10" t="s">
        <v>390</v>
      </c>
      <c r="D72" s="10" t="s">
        <v>515</v>
      </c>
      <c r="E72" s="10">
        <v>3</v>
      </c>
      <c r="F72" s="10" t="s">
        <v>644</v>
      </c>
      <c r="G72" s="10" t="str">
        <f t="shared" si="1"/>
        <v>XR-P-TE0029|XR-P-PR0017|core</v>
      </c>
    </row>
    <row r="73" spans="1:7" ht="21.95" customHeight="1">
      <c r="A73" s="11" t="s">
        <v>645</v>
      </c>
      <c r="B73" s="11" t="s">
        <v>222</v>
      </c>
      <c r="C73" s="11" t="s">
        <v>359</v>
      </c>
      <c r="D73" s="11" t="s">
        <v>515</v>
      </c>
      <c r="E73" s="11">
        <v>4</v>
      </c>
      <c r="F73" s="11" t="s">
        <v>646</v>
      </c>
      <c r="G73" s="11" t="str">
        <f t="shared" si="1"/>
        <v>XR-P-TE0029|XR-P-PR0014|core</v>
      </c>
    </row>
  </sheetData>
  <mergeCells count="2">
    <mergeCell ref="A1:G1"/>
    <mergeCell ref="A2:G2"/>
  </mergeCells>
  <phoneticPr fontId="6" type="noConversion"/>
  <dataValidations count="1">
    <dataValidation type="list" sqref="D5:D500" xr:uid="{00000000-0002-0000-0600-000000000000}">
      <formula1>"core,optional,alternative"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showGridLines="0" zoomScale="70" zoomScaleNormal="70" workbookViewId="0">
      <selection activeCell="F32" sqref="F32"/>
    </sheetView>
  </sheetViews>
  <sheetFormatPr defaultRowHeight="14.25"/>
  <cols>
    <col min="1" max="1" width="22" customWidth="1"/>
    <col min="2" max="2" width="34" customWidth="1"/>
    <col min="3" max="3" width="28" customWidth="1"/>
    <col min="4" max="4" width="64" customWidth="1"/>
    <col min="5" max="5" width="52" customWidth="1"/>
    <col min="6" max="6" width="44" customWidth="1"/>
    <col min="7" max="7" width="48" customWidth="1"/>
  </cols>
  <sheetData>
    <row r="1" spans="1:7" ht="30" customHeight="1">
      <c r="A1" s="16" t="s">
        <v>673</v>
      </c>
      <c r="B1" s="16"/>
      <c r="C1" s="16"/>
      <c r="D1" s="16"/>
      <c r="E1" s="16"/>
      <c r="F1" s="16"/>
      <c r="G1" s="16"/>
    </row>
    <row r="2" spans="1:7" ht="38.1" customHeight="1">
      <c r="A2" s="17" t="s">
        <v>913</v>
      </c>
      <c r="B2" s="18"/>
      <c r="C2" s="18"/>
      <c r="D2" s="18"/>
      <c r="E2" s="18"/>
      <c r="F2" s="18"/>
      <c r="G2" s="18"/>
    </row>
    <row r="3" spans="1:7">
      <c r="A3" s="1"/>
      <c r="B3" s="1"/>
      <c r="C3" s="1"/>
      <c r="D3" s="1"/>
      <c r="E3" s="1"/>
      <c r="F3" s="1"/>
      <c r="G3" s="1"/>
    </row>
    <row r="4" spans="1:7" ht="33.950000000000003" customHeight="1">
      <c r="A4" s="2" t="s">
        <v>674</v>
      </c>
      <c r="B4" s="7" t="s">
        <v>10</v>
      </c>
      <c r="C4" s="7" t="s">
        <v>11</v>
      </c>
      <c r="D4" s="7" t="s">
        <v>12</v>
      </c>
      <c r="E4" s="7" t="s">
        <v>675</v>
      </c>
      <c r="F4" s="7" t="s">
        <v>676</v>
      </c>
      <c r="G4" s="7" t="s">
        <v>677</v>
      </c>
    </row>
    <row r="5" spans="1:7" ht="21.95" customHeight="1">
      <c r="A5" s="8" t="s">
        <v>5</v>
      </c>
      <c r="B5" s="8" t="s">
        <v>678</v>
      </c>
      <c r="C5" s="8" t="s">
        <v>679</v>
      </c>
      <c r="D5" s="8" t="s">
        <v>680</v>
      </c>
      <c r="E5" s="8" t="s">
        <v>681</v>
      </c>
      <c r="F5" s="8" t="s">
        <v>682</v>
      </c>
      <c r="G5" s="8" t="s">
        <v>656</v>
      </c>
    </row>
    <row r="6" spans="1:7" ht="21.95" customHeight="1">
      <c r="A6" s="10" t="s">
        <v>647</v>
      </c>
      <c r="B6" s="10" t="s">
        <v>683</v>
      </c>
      <c r="C6" s="10" t="s">
        <v>684</v>
      </c>
      <c r="D6" s="10" t="s">
        <v>685</v>
      </c>
      <c r="E6" s="10" t="s">
        <v>686</v>
      </c>
      <c r="F6" s="10" t="s">
        <v>23</v>
      </c>
      <c r="G6" s="10" t="s">
        <v>687</v>
      </c>
    </row>
    <row r="7" spans="1:7" ht="21.95" customHeight="1">
      <c r="A7" s="10" t="s">
        <v>648</v>
      </c>
      <c r="B7" s="10" t="s">
        <v>688</v>
      </c>
      <c r="C7" s="10" t="s">
        <v>689</v>
      </c>
      <c r="D7" s="10" t="s">
        <v>690</v>
      </c>
      <c r="E7" s="10" t="s">
        <v>691</v>
      </c>
      <c r="F7" s="10" t="s">
        <v>23</v>
      </c>
      <c r="G7" s="10" t="s">
        <v>692</v>
      </c>
    </row>
    <row r="8" spans="1:7" ht="21.95" customHeight="1">
      <c r="A8" s="10" t="s">
        <v>649</v>
      </c>
      <c r="B8" s="10" t="s">
        <v>693</v>
      </c>
      <c r="C8" s="10" t="s">
        <v>694</v>
      </c>
      <c r="D8" s="10" t="s">
        <v>695</v>
      </c>
      <c r="E8" s="10" t="s">
        <v>696</v>
      </c>
      <c r="F8" s="10" t="s">
        <v>23</v>
      </c>
      <c r="G8" s="10" t="s">
        <v>687</v>
      </c>
    </row>
    <row r="9" spans="1:7" ht="21.95" customHeight="1">
      <c r="A9" s="10" t="s">
        <v>650</v>
      </c>
      <c r="B9" s="10" t="s">
        <v>697</v>
      </c>
      <c r="C9" s="10" t="s">
        <v>698</v>
      </c>
      <c r="D9" s="10" t="s">
        <v>699</v>
      </c>
      <c r="E9" s="10" t="s">
        <v>700</v>
      </c>
      <c r="F9" s="10" t="s">
        <v>19</v>
      </c>
      <c r="G9" s="10" t="s">
        <v>651</v>
      </c>
    </row>
    <row r="10" spans="1:7" ht="21.95" customHeight="1">
      <c r="A10" s="10" t="s">
        <v>652</v>
      </c>
      <c r="B10" s="10" t="s">
        <v>701</v>
      </c>
      <c r="C10" s="10" t="s">
        <v>702</v>
      </c>
      <c r="D10" s="10" t="s">
        <v>703</v>
      </c>
      <c r="E10" s="10" t="s">
        <v>704</v>
      </c>
      <c r="F10" s="10" t="s">
        <v>705</v>
      </c>
      <c r="G10" s="10" t="s">
        <v>706</v>
      </c>
    </row>
    <row r="11" spans="1:7" ht="21.95" customHeight="1">
      <c r="A11" s="10" t="s">
        <v>653</v>
      </c>
      <c r="B11" s="10" t="s">
        <v>707</v>
      </c>
      <c r="C11" s="10" t="s">
        <v>708</v>
      </c>
      <c r="D11" s="10" t="s">
        <v>709</v>
      </c>
      <c r="E11" s="10" t="s">
        <v>710</v>
      </c>
      <c r="F11" s="10" t="s">
        <v>23</v>
      </c>
      <c r="G11" s="10" t="s">
        <v>654</v>
      </c>
    </row>
    <row r="12" spans="1:7" ht="21.95" customHeight="1">
      <c r="A12" s="10" t="s">
        <v>655</v>
      </c>
      <c r="B12" s="10" t="s">
        <v>711</v>
      </c>
      <c r="C12" s="10" t="s">
        <v>712</v>
      </c>
      <c r="D12" s="10" t="s">
        <v>713</v>
      </c>
      <c r="E12" s="10" t="s">
        <v>714</v>
      </c>
      <c r="F12" s="10" t="s">
        <v>715</v>
      </c>
      <c r="G12" s="10" t="s">
        <v>656</v>
      </c>
    </row>
    <row r="13" spans="1:7" ht="21.95" customHeight="1">
      <c r="A13" s="10" t="s">
        <v>716</v>
      </c>
      <c r="B13" s="10" t="s">
        <v>717</v>
      </c>
      <c r="C13" s="10" t="s">
        <v>718</v>
      </c>
      <c r="D13" s="10" t="s">
        <v>719</v>
      </c>
      <c r="E13" s="10" t="s">
        <v>720</v>
      </c>
      <c r="F13" s="10" t="s">
        <v>23</v>
      </c>
      <c r="G13" s="10" t="s">
        <v>194</v>
      </c>
    </row>
    <row r="14" spans="1:7" ht="21.95" customHeight="1">
      <c r="A14" s="10" t="s">
        <v>657</v>
      </c>
      <c r="B14" s="10" t="s">
        <v>721</v>
      </c>
      <c r="C14" s="10" t="s">
        <v>722</v>
      </c>
      <c r="D14" s="10" t="s">
        <v>723</v>
      </c>
      <c r="E14" s="10" t="s">
        <v>724</v>
      </c>
      <c r="F14" s="10" t="s">
        <v>725</v>
      </c>
      <c r="G14" s="10" t="s">
        <v>161</v>
      </c>
    </row>
    <row r="15" spans="1:7" ht="21.95" customHeight="1">
      <c r="A15" s="10" t="s">
        <v>658</v>
      </c>
      <c r="B15" s="10" t="s">
        <v>726</v>
      </c>
      <c r="C15" s="10" t="s">
        <v>727</v>
      </c>
      <c r="D15" s="10" t="s">
        <v>728</v>
      </c>
      <c r="E15" s="10" t="s">
        <v>729</v>
      </c>
      <c r="F15" s="10" t="s">
        <v>705</v>
      </c>
      <c r="G15" s="10" t="s">
        <v>151</v>
      </c>
    </row>
    <row r="16" spans="1:7" ht="21.95" customHeight="1">
      <c r="A16" s="10" t="s">
        <v>659</v>
      </c>
      <c r="B16" s="10" t="s">
        <v>730</v>
      </c>
      <c r="C16" s="10" t="s">
        <v>731</v>
      </c>
      <c r="D16" s="10" t="s">
        <v>732</v>
      </c>
      <c r="E16" s="10" t="s">
        <v>733</v>
      </c>
      <c r="F16" s="10" t="s">
        <v>31</v>
      </c>
      <c r="G16" s="10" t="s">
        <v>157</v>
      </c>
    </row>
    <row r="17" spans="1:7" ht="21.95" customHeight="1">
      <c r="A17" s="10" t="s">
        <v>660</v>
      </c>
      <c r="B17" s="10" t="s">
        <v>734</v>
      </c>
      <c r="C17" s="10" t="s">
        <v>735</v>
      </c>
      <c r="D17" s="10" t="s">
        <v>736</v>
      </c>
      <c r="E17" s="10" t="s">
        <v>737</v>
      </c>
      <c r="F17" s="10" t="s">
        <v>738</v>
      </c>
      <c r="G17" s="10" t="s">
        <v>661</v>
      </c>
    </row>
    <row r="18" spans="1:7" ht="21.95" customHeight="1">
      <c r="A18" s="10" t="s">
        <v>662</v>
      </c>
      <c r="B18" s="10" t="s">
        <v>739</v>
      </c>
      <c r="C18" s="10" t="s">
        <v>740</v>
      </c>
      <c r="D18" s="10" t="s">
        <v>741</v>
      </c>
      <c r="E18" s="10" t="s">
        <v>742</v>
      </c>
      <c r="F18" s="10" t="s">
        <v>27</v>
      </c>
      <c r="G18" s="10" t="s">
        <v>123</v>
      </c>
    </row>
    <row r="19" spans="1:7" ht="21.95" customHeight="1">
      <c r="A19" s="10" t="s">
        <v>663</v>
      </c>
      <c r="B19" s="10" t="s">
        <v>200</v>
      </c>
      <c r="C19" s="10" t="s">
        <v>743</v>
      </c>
      <c r="D19" s="10" t="s">
        <v>744</v>
      </c>
      <c r="E19" s="10" t="s">
        <v>745</v>
      </c>
      <c r="F19" s="10" t="s">
        <v>746</v>
      </c>
      <c r="G19" s="10" t="s">
        <v>199</v>
      </c>
    </row>
    <row r="20" spans="1:7" ht="21.95" customHeight="1">
      <c r="A20" s="10" t="s">
        <v>664</v>
      </c>
      <c r="B20" s="10" t="s">
        <v>747</v>
      </c>
      <c r="C20" s="10" t="s">
        <v>748</v>
      </c>
      <c r="D20" s="10" t="s">
        <v>749</v>
      </c>
      <c r="E20" s="10" t="s">
        <v>750</v>
      </c>
      <c r="F20" s="10" t="s">
        <v>751</v>
      </c>
      <c r="G20" s="10" t="s">
        <v>79</v>
      </c>
    </row>
    <row r="21" spans="1:7" ht="21.95" customHeight="1">
      <c r="A21" s="10" t="s">
        <v>752</v>
      </c>
      <c r="B21" s="10" t="s">
        <v>753</v>
      </c>
      <c r="C21" s="10" t="s">
        <v>754</v>
      </c>
      <c r="D21" s="10" t="s">
        <v>755</v>
      </c>
      <c r="E21" s="10" t="s">
        <v>756</v>
      </c>
      <c r="F21" s="10" t="s">
        <v>757</v>
      </c>
      <c r="G21" s="10" t="s">
        <v>665</v>
      </c>
    </row>
    <row r="22" spans="1:7" ht="21.95" customHeight="1">
      <c r="A22" s="10" t="s">
        <v>758</v>
      </c>
      <c r="B22" s="10" t="s">
        <v>759</v>
      </c>
      <c r="C22" s="10" t="s">
        <v>760</v>
      </c>
      <c r="D22" s="10" t="s">
        <v>761</v>
      </c>
      <c r="E22" s="10" t="s">
        <v>762</v>
      </c>
      <c r="F22" s="10" t="s">
        <v>763</v>
      </c>
      <c r="G22" s="10" t="s">
        <v>666</v>
      </c>
    </row>
    <row r="23" spans="1:7" ht="21.95" customHeight="1">
      <c r="A23" s="10" t="s">
        <v>764</v>
      </c>
      <c r="B23" s="10" t="s">
        <v>765</v>
      </c>
      <c r="C23" s="10" t="s">
        <v>766</v>
      </c>
      <c r="D23" s="10" t="s">
        <v>767</v>
      </c>
      <c r="E23" s="10" t="s">
        <v>768</v>
      </c>
      <c r="F23" s="10" t="s">
        <v>31</v>
      </c>
      <c r="G23" s="10" t="s">
        <v>667</v>
      </c>
    </row>
    <row r="24" spans="1:7" ht="21.95" customHeight="1">
      <c r="A24" s="10" t="s">
        <v>668</v>
      </c>
      <c r="B24" s="10" t="s">
        <v>212</v>
      </c>
      <c r="C24" s="10" t="s">
        <v>769</v>
      </c>
      <c r="D24" s="10" t="s">
        <v>770</v>
      </c>
      <c r="E24" s="10" t="s">
        <v>771</v>
      </c>
      <c r="F24" s="10" t="s">
        <v>772</v>
      </c>
      <c r="G24" s="10" t="s">
        <v>211</v>
      </c>
    </row>
    <row r="25" spans="1:7" ht="21.95" customHeight="1">
      <c r="A25" s="10" t="s">
        <v>669</v>
      </c>
      <c r="B25" s="10" t="s">
        <v>206</v>
      </c>
      <c r="C25" s="10" t="s">
        <v>773</v>
      </c>
      <c r="D25" s="10" t="s">
        <v>774</v>
      </c>
      <c r="E25" s="10" t="s">
        <v>775</v>
      </c>
      <c r="F25" s="10" t="s">
        <v>776</v>
      </c>
      <c r="G25" s="10" t="s">
        <v>205</v>
      </c>
    </row>
    <row r="26" spans="1:7" ht="21.95" customHeight="1">
      <c r="A26" s="10" t="s">
        <v>670</v>
      </c>
      <c r="B26" s="10" t="s">
        <v>777</v>
      </c>
      <c r="C26" s="10" t="s">
        <v>778</v>
      </c>
      <c r="D26" s="10" t="s">
        <v>779</v>
      </c>
      <c r="E26" s="10" t="s">
        <v>780</v>
      </c>
      <c r="F26" s="10" t="s">
        <v>55</v>
      </c>
      <c r="G26" s="10" t="s">
        <v>188</v>
      </c>
    </row>
    <row r="27" spans="1:7" ht="21.95" customHeight="1">
      <c r="A27" s="11" t="s">
        <v>781</v>
      </c>
      <c r="B27" s="11" t="s">
        <v>217</v>
      </c>
      <c r="C27" s="11" t="s">
        <v>782</v>
      </c>
      <c r="D27" s="11" t="s">
        <v>783</v>
      </c>
      <c r="E27" s="11" t="s">
        <v>784</v>
      </c>
      <c r="F27" s="11" t="s">
        <v>59</v>
      </c>
      <c r="G27" s="11" t="s">
        <v>216</v>
      </c>
    </row>
  </sheetData>
  <mergeCells count="2">
    <mergeCell ref="A1:G1"/>
    <mergeCell ref="A2:G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showGridLines="0" workbookViewId="0">
      <selection activeCell="E27" sqref="E27"/>
    </sheetView>
  </sheetViews>
  <sheetFormatPr defaultRowHeight="14.25"/>
  <cols>
    <col min="1" max="1" width="22" customWidth="1"/>
    <col min="2" max="2" width="18" customWidth="1"/>
    <col min="3" max="3" width="38" customWidth="1"/>
    <col min="4" max="4" width="30" customWidth="1"/>
    <col min="5" max="5" width="69.25" customWidth="1"/>
    <col min="6" max="6" width="58" customWidth="1"/>
    <col min="7" max="7" width="48" customWidth="1"/>
    <col min="8" max="8" width="34" customWidth="1"/>
  </cols>
  <sheetData>
    <row r="1" spans="1:8" ht="30" customHeight="1">
      <c r="A1" s="16" t="s">
        <v>785</v>
      </c>
      <c r="B1" s="16"/>
      <c r="C1" s="16"/>
      <c r="D1" s="16"/>
      <c r="E1" s="16"/>
      <c r="F1" s="16"/>
      <c r="G1" s="16"/>
      <c r="H1" s="16"/>
    </row>
    <row r="2" spans="1:8" ht="38.1" customHeight="1">
      <c r="A2" s="17" t="s">
        <v>914</v>
      </c>
      <c r="B2" s="18"/>
      <c r="C2" s="18"/>
      <c r="D2" s="18"/>
      <c r="E2" s="18"/>
      <c r="F2" s="18"/>
      <c r="G2" s="18"/>
      <c r="H2" s="18"/>
    </row>
    <row r="3" spans="1:8">
      <c r="A3" s="1"/>
      <c r="B3" s="1"/>
      <c r="C3" s="1"/>
      <c r="D3" s="1"/>
      <c r="E3" s="1"/>
      <c r="F3" s="1"/>
      <c r="G3" s="1"/>
      <c r="H3" s="1"/>
    </row>
    <row r="4" spans="1:8" ht="33.950000000000003" customHeight="1">
      <c r="A4" s="2" t="s">
        <v>786</v>
      </c>
      <c r="B4" s="7" t="s">
        <v>787</v>
      </c>
      <c r="C4" s="7" t="s">
        <v>10</v>
      </c>
      <c r="D4" s="7" t="s">
        <v>11</v>
      </c>
      <c r="E4" s="7" t="s">
        <v>12</v>
      </c>
      <c r="F4" s="7" t="s">
        <v>788</v>
      </c>
      <c r="G4" s="7" t="s">
        <v>789</v>
      </c>
      <c r="H4" s="7" t="s">
        <v>790</v>
      </c>
    </row>
    <row r="5" spans="1:8" ht="21.95" customHeight="1">
      <c r="A5" s="4" t="s">
        <v>6</v>
      </c>
      <c r="B5" s="4" t="s">
        <v>791</v>
      </c>
      <c r="C5" s="4" t="s">
        <v>792</v>
      </c>
      <c r="D5" s="4" t="s">
        <v>793</v>
      </c>
      <c r="E5" s="4" t="s">
        <v>794</v>
      </c>
      <c r="F5" s="4" t="s">
        <v>795</v>
      </c>
      <c r="G5" s="4" t="s">
        <v>96</v>
      </c>
      <c r="H5" s="4" t="s">
        <v>796</v>
      </c>
    </row>
    <row r="6" spans="1:8" ht="21.95" customHeight="1">
      <c r="A6" s="5" t="s">
        <v>797</v>
      </c>
      <c r="B6" s="5" t="s">
        <v>791</v>
      </c>
      <c r="C6" s="5" t="s">
        <v>798</v>
      </c>
      <c r="D6" s="5" t="s">
        <v>799</v>
      </c>
      <c r="E6" s="5" t="s">
        <v>800</v>
      </c>
      <c r="F6" s="5" t="s">
        <v>801</v>
      </c>
      <c r="G6" s="5" t="s">
        <v>102</v>
      </c>
      <c r="H6" s="5" t="s">
        <v>796</v>
      </c>
    </row>
    <row r="7" spans="1:8" ht="21.95" customHeight="1">
      <c r="A7" s="5" t="s">
        <v>802</v>
      </c>
      <c r="B7" s="5" t="s">
        <v>791</v>
      </c>
      <c r="C7" s="5" t="s">
        <v>803</v>
      </c>
      <c r="D7" s="5" t="s">
        <v>804</v>
      </c>
      <c r="E7" s="5" t="s">
        <v>805</v>
      </c>
      <c r="F7" s="5" t="s">
        <v>806</v>
      </c>
      <c r="G7" s="5" t="s">
        <v>194</v>
      </c>
      <c r="H7" s="5" t="s">
        <v>796</v>
      </c>
    </row>
    <row r="8" spans="1:8" ht="21.95" customHeight="1">
      <c r="A8" s="5" t="s">
        <v>671</v>
      </c>
      <c r="B8" s="5" t="s">
        <v>791</v>
      </c>
      <c r="C8" s="5" t="s">
        <v>807</v>
      </c>
      <c r="D8" s="5" t="s">
        <v>808</v>
      </c>
      <c r="E8" s="5" t="s">
        <v>809</v>
      </c>
      <c r="F8" s="5" t="s">
        <v>810</v>
      </c>
      <c r="G8" s="5" t="s">
        <v>90</v>
      </c>
      <c r="H8" s="5" t="s">
        <v>796</v>
      </c>
    </row>
    <row r="9" spans="1:8" ht="21.95" customHeight="1">
      <c r="A9" s="5" t="s">
        <v>672</v>
      </c>
      <c r="B9" s="5" t="s">
        <v>791</v>
      </c>
      <c r="C9" s="5" t="s">
        <v>811</v>
      </c>
      <c r="D9" s="5" t="s">
        <v>812</v>
      </c>
      <c r="E9" s="5" t="s">
        <v>813</v>
      </c>
      <c r="F9" s="5" t="s">
        <v>814</v>
      </c>
      <c r="G9" s="5" t="s">
        <v>222</v>
      </c>
      <c r="H9" s="5" t="s">
        <v>796</v>
      </c>
    </row>
    <row r="10" spans="1:8" ht="21.95" customHeight="1">
      <c r="A10" s="5" t="s">
        <v>7</v>
      </c>
      <c r="B10" s="5" t="s">
        <v>815</v>
      </c>
      <c r="C10" s="5" t="s">
        <v>816</v>
      </c>
      <c r="D10" s="5" t="s">
        <v>817</v>
      </c>
      <c r="E10" s="5" t="s">
        <v>818</v>
      </c>
      <c r="F10" s="5" t="s">
        <v>819</v>
      </c>
      <c r="G10" s="5" t="s">
        <v>820</v>
      </c>
      <c r="H10" s="5" t="s">
        <v>821</v>
      </c>
    </row>
    <row r="11" spans="1:8" ht="21.95" customHeight="1">
      <c r="A11" s="5" t="s">
        <v>822</v>
      </c>
      <c r="B11" s="5" t="s">
        <v>815</v>
      </c>
      <c r="C11" s="5" t="s">
        <v>823</v>
      </c>
      <c r="D11" s="5" t="s">
        <v>824</v>
      </c>
      <c r="E11" s="5" t="s">
        <v>825</v>
      </c>
      <c r="F11" s="5" t="s">
        <v>826</v>
      </c>
      <c r="G11" s="5" t="s">
        <v>827</v>
      </c>
      <c r="H11" s="5" t="s">
        <v>821</v>
      </c>
    </row>
    <row r="12" spans="1:8" ht="21.95" customHeight="1">
      <c r="A12" s="6" t="s">
        <v>828</v>
      </c>
      <c r="B12" s="6" t="s">
        <v>815</v>
      </c>
      <c r="C12" s="6" t="s">
        <v>829</v>
      </c>
      <c r="D12" s="6" t="s">
        <v>830</v>
      </c>
      <c r="E12" s="6" t="s">
        <v>831</v>
      </c>
      <c r="F12" s="6" t="s">
        <v>832</v>
      </c>
      <c r="G12" s="6" t="s">
        <v>833</v>
      </c>
      <c r="H12" s="6" t="s">
        <v>821</v>
      </c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3"/>
  <sheetViews>
    <sheetView showGridLines="0" workbookViewId="0">
      <selection activeCell="G11" sqref="G11"/>
    </sheetView>
  </sheetViews>
  <sheetFormatPr defaultRowHeight="14.25"/>
  <cols>
    <col min="1" max="1" width="28" customWidth="1"/>
    <col min="2" max="2" width="22" customWidth="1"/>
    <col min="3" max="3" width="38" customWidth="1"/>
    <col min="4" max="4" width="42" customWidth="1"/>
    <col min="5" max="5" width="30" customWidth="1"/>
    <col min="6" max="6" width="36" customWidth="1"/>
  </cols>
  <sheetData>
    <row r="1" spans="1:6" ht="30" customHeight="1">
      <c r="A1" s="16" t="s">
        <v>834</v>
      </c>
      <c r="B1" s="16"/>
      <c r="C1" s="16"/>
      <c r="D1" s="16"/>
      <c r="E1" s="16"/>
      <c r="F1" s="16"/>
    </row>
    <row r="2" spans="1:6" ht="38.1" customHeight="1">
      <c r="A2" s="17" t="s">
        <v>915</v>
      </c>
      <c r="B2" s="18"/>
      <c r="C2" s="18"/>
      <c r="D2" s="18"/>
      <c r="E2" s="18"/>
      <c r="F2" s="18"/>
    </row>
    <row r="3" spans="1:6">
      <c r="A3" s="1"/>
      <c r="B3" s="1"/>
      <c r="C3" s="1"/>
      <c r="D3" s="1"/>
      <c r="E3" s="1"/>
      <c r="F3" s="1"/>
    </row>
    <row r="4" spans="1:6" ht="33.950000000000003" customHeight="1">
      <c r="A4" s="2" t="s">
        <v>835</v>
      </c>
      <c r="B4" s="7" t="s">
        <v>836</v>
      </c>
      <c r="C4" s="7" t="s">
        <v>10</v>
      </c>
      <c r="D4" s="7" t="s">
        <v>837</v>
      </c>
      <c r="E4" s="7" t="s">
        <v>838</v>
      </c>
      <c r="F4" s="3" t="s">
        <v>839</v>
      </c>
    </row>
    <row r="5" spans="1:6" ht="21.95" customHeight="1">
      <c r="A5" s="4" t="s">
        <v>840</v>
      </c>
      <c r="B5" s="4" t="s">
        <v>0</v>
      </c>
      <c r="C5" s="4" t="s">
        <v>15</v>
      </c>
      <c r="D5" s="4" t="s">
        <v>841</v>
      </c>
      <c r="E5" s="4" t="s">
        <v>842</v>
      </c>
      <c r="F5" s="4" t="s">
        <v>843</v>
      </c>
    </row>
    <row r="6" spans="1:6" ht="21.95" customHeight="1">
      <c r="A6" s="5" t="s">
        <v>840</v>
      </c>
      <c r="B6" s="5" t="s">
        <v>19</v>
      </c>
      <c r="C6" s="5" t="s">
        <v>20</v>
      </c>
      <c r="D6" s="5" t="s">
        <v>844</v>
      </c>
      <c r="E6" s="5" t="s">
        <v>842</v>
      </c>
      <c r="F6" s="5" t="s">
        <v>843</v>
      </c>
    </row>
    <row r="7" spans="1:6" ht="21.95" customHeight="1">
      <c r="A7" s="5" t="s">
        <v>840</v>
      </c>
      <c r="B7" s="5" t="s">
        <v>23</v>
      </c>
      <c r="C7" s="5" t="s">
        <v>24</v>
      </c>
      <c r="D7" s="5" t="s">
        <v>845</v>
      </c>
      <c r="E7" s="5" t="s">
        <v>842</v>
      </c>
      <c r="F7" s="5" t="s">
        <v>843</v>
      </c>
    </row>
    <row r="8" spans="1:6" ht="21.95" customHeight="1">
      <c r="A8" s="5" t="s">
        <v>840</v>
      </c>
      <c r="B8" s="5" t="s">
        <v>27</v>
      </c>
      <c r="C8" s="5" t="s">
        <v>28</v>
      </c>
      <c r="D8" s="5" t="s">
        <v>846</v>
      </c>
      <c r="E8" s="5" t="s">
        <v>842</v>
      </c>
      <c r="F8" s="5" t="s">
        <v>843</v>
      </c>
    </row>
    <row r="9" spans="1:6" ht="21.95" customHeight="1">
      <c r="A9" s="5" t="s">
        <v>840</v>
      </c>
      <c r="B9" s="5" t="s">
        <v>31</v>
      </c>
      <c r="C9" s="5" t="s">
        <v>32</v>
      </c>
      <c r="D9" s="5" t="s">
        <v>847</v>
      </c>
      <c r="E9" s="5" t="s">
        <v>842</v>
      </c>
      <c r="F9" s="5" t="s">
        <v>843</v>
      </c>
    </row>
    <row r="10" spans="1:6" ht="21.95" customHeight="1">
      <c r="A10" s="5" t="s">
        <v>840</v>
      </c>
      <c r="B10" s="5" t="s">
        <v>35</v>
      </c>
      <c r="C10" s="5" t="s">
        <v>36</v>
      </c>
      <c r="D10" s="5" t="s">
        <v>848</v>
      </c>
      <c r="E10" s="5" t="s">
        <v>842</v>
      </c>
      <c r="F10" s="5" t="s">
        <v>843</v>
      </c>
    </row>
    <row r="11" spans="1:6" ht="21.95" customHeight="1">
      <c r="A11" s="5" t="s">
        <v>840</v>
      </c>
      <c r="B11" s="5" t="s">
        <v>39</v>
      </c>
      <c r="C11" s="5" t="s">
        <v>40</v>
      </c>
      <c r="D11" s="5" t="s">
        <v>849</v>
      </c>
      <c r="E11" s="5" t="s">
        <v>842</v>
      </c>
      <c r="F11" s="5" t="s">
        <v>843</v>
      </c>
    </row>
    <row r="12" spans="1:6" ht="21.95" customHeight="1">
      <c r="A12" s="5" t="s">
        <v>840</v>
      </c>
      <c r="B12" s="5" t="s">
        <v>43</v>
      </c>
      <c r="C12" s="5" t="s">
        <v>44</v>
      </c>
      <c r="D12" s="5" t="s">
        <v>850</v>
      </c>
      <c r="E12" s="5" t="s">
        <v>842</v>
      </c>
      <c r="F12" s="5" t="s">
        <v>843</v>
      </c>
    </row>
    <row r="13" spans="1:6" ht="21.95" customHeight="1">
      <c r="A13" s="5" t="s">
        <v>840</v>
      </c>
      <c r="B13" s="5" t="s">
        <v>47</v>
      </c>
      <c r="C13" s="5" t="s">
        <v>48</v>
      </c>
      <c r="D13" s="5" t="s">
        <v>851</v>
      </c>
      <c r="E13" s="5" t="s">
        <v>842</v>
      </c>
      <c r="F13" s="5" t="s">
        <v>843</v>
      </c>
    </row>
    <row r="14" spans="1:6" ht="21.95" customHeight="1">
      <c r="A14" s="5" t="s">
        <v>840</v>
      </c>
      <c r="B14" s="5" t="s">
        <v>51</v>
      </c>
      <c r="C14" s="5" t="s">
        <v>52</v>
      </c>
      <c r="D14" s="5" t="s">
        <v>852</v>
      </c>
      <c r="E14" s="5" t="s">
        <v>842</v>
      </c>
      <c r="F14" s="5" t="s">
        <v>843</v>
      </c>
    </row>
    <row r="15" spans="1:6" ht="21.95" customHeight="1">
      <c r="A15" s="5" t="s">
        <v>840</v>
      </c>
      <c r="B15" s="5" t="s">
        <v>55</v>
      </c>
      <c r="C15" s="5" t="s">
        <v>56</v>
      </c>
      <c r="D15" s="5" t="s">
        <v>853</v>
      </c>
      <c r="E15" s="5" t="s">
        <v>842</v>
      </c>
      <c r="F15" s="5" t="s">
        <v>843</v>
      </c>
    </row>
    <row r="16" spans="1:6" ht="21.95" customHeight="1">
      <c r="A16" s="5" t="s">
        <v>840</v>
      </c>
      <c r="B16" s="5" t="s">
        <v>59</v>
      </c>
      <c r="C16" s="5" t="s">
        <v>60</v>
      </c>
      <c r="D16" s="5" t="s">
        <v>854</v>
      </c>
      <c r="E16" s="5" t="s">
        <v>842</v>
      </c>
      <c r="F16" s="5" t="s">
        <v>843</v>
      </c>
    </row>
    <row r="17" spans="1:6" ht="21.95" customHeight="1">
      <c r="A17" s="5" t="s">
        <v>855</v>
      </c>
      <c r="B17" s="5" t="s">
        <v>1</v>
      </c>
      <c r="C17" s="5" t="s">
        <v>69</v>
      </c>
      <c r="D17" s="5" t="s">
        <v>856</v>
      </c>
      <c r="E17" s="5" t="s">
        <v>857</v>
      </c>
      <c r="F17" s="5" t="s">
        <v>858</v>
      </c>
    </row>
    <row r="18" spans="1:6" ht="21.95" customHeight="1">
      <c r="A18" s="5" t="s">
        <v>855</v>
      </c>
      <c r="B18" s="5" t="s">
        <v>74</v>
      </c>
      <c r="C18" s="5" t="s">
        <v>75</v>
      </c>
      <c r="D18" s="5" t="s">
        <v>859</v>
      </c>
      <c r="E18" s="5" t="s">
        <v>857</v>
      </c>
      <c r="F18" s="5" t="s">
        <v>858</v>
      </c>
    </row>
    <row r="19" spans="1:6" ht="21.95" customHeight="1">
      <c r="A19" s="5" t="s">
        <v>855</v>
      </c>
      <c r="B19" s="5" t="s">
        <v>79</v>
      </c>
      <c r="C19" s="5" t="s">
        <v>80</v>
      </c>
      <c r="D19" s="5" t="s">
        <v>860</v>
      </c>
      <c r="E19" s="5" t="s">
        <v>857</v>
      </c>
      <c r="F19" s="5" t="s">
        <v>858</v>
      </c>
    </row>
    <row r="20" spans="1:6" ht="21.95" customHeight="1">
      <c r="A20" s="5" t="s">
        <v>855</v>
      </c>
      <c r="B20" s="5" t="s">
        <v>84</v>
      </c>
      <c r="C20" s="5" t="s">
        <v>85</v>
      </c>
      <c r="D20" s="5" t="s">
        <v>861</v>
      </c>
      <c r="E20" s="5" t="s">
        <v>857</v>
      </c>
      <c r="F20" s="5" t="s">
        <v>858</v>
      </c>
    </row>
    <row r="21" spans="1:6" ht="21.95" customHeight="1">
      <c r="A21" s="5" t="s">
        <v>855</v>
      </c>
      <c r="B21" s="5" t="s">
        <v>90</v>
      </c>
      <c r="C21" s="5" t="s">
        <v>91</v>
      </c>
      <c r="D21" s="5" t="s">
        <v>862</v>
      </c>
      <c r="E21" s="5" t="s">
        <v>857</v>
      </c>
      <c r="F21" s="5" t="s">
        <v>858</v>
      </c>
    </row>
    <row r="22" spans="1:6" ht="21.95" customHeight="1">
      <c r="A22" s="5" t="s">
        <v>855</v>
      </c>
      <c r="B22" s="5" t="s">
        <v>96</v>
      </c>
      <c r="C22" s="5" t="s">
        <v>97</v>
      </c>
      <c r="D22" s="5" t="s">
        <v>863</v>
      </c>
      <c r="E22" s="5" t="s">
        <v>857</v>
      </c>
      <c r="F22" s="5" t="s">
        <v>858</v>
      </c>
    </row>
    <row r="23" spans="1:6" ht="21.95" customHeight="1">
      <c r="A23" s="5" t="s">
        <v>855</v>
      </c>
      <c r="B23" s="5" t="s">
        <v>102</v>
      </c>
      <c r="C23" s="5" t="s">
        <v>103</v>
      </c>
      <c r="D23" s="5" t="s">
        <v>864</v>
      </c>
      <c r="E23" s="5" t="s">
        <v>857</v>
      </c>
      <c r="F23" s="5" t="s">
        <v>858</v>
      </c>
    </row>
    <row r="24" spans="1:6" ht="21.95" customHeight="1">
      <c r="A24" s="5" t="s">
        <v>855</v>
      </c>
      <c r="B24" s="5" t="s">
        <v>107</v>
      </c>
      <c r="C24" s="5" t="s">
        <v>108</v>
      </c>
      <c r="D24" s="5" t="s">
        <v>865</v>
      </c>
      <c r="E24" s="5" t="s">
        <v>857</v>
      </c>
      <c r="F24" s="5" t="s">
        <v>858</v>
      </c>
    </row>
    <row r="25" spans="1:6" ht="21.95" customHeight="1">
      <c r="A25" s="5" t="s">
        <v>855</v>
      </c>
      <c r="B25" s="5" t="s">
        <v>113</v>
      </c>
      <c r="C25" s="5" t="s">
        <v>114</v>
      </c>
      <c r="D25" s="5" t="s">
        <v>866</v>
      </c>
      <c r="E25" s="5" t="s">
        <v>857</v>
      </c>
      <c r="F25" s="5" t="s">
        <v>858</v>
      </c>
    </row>
    <row r="26" spans="1:6" ht="21.95" customHeight="1">
      <c r="A26" s="5" t="s">
        <v>855</v>
      </c>
      <c r="B26" s="5" t="s">
        <v>118</v>
      </c>
      <c r="C26" s="5" t="s">
        <v>119</v>
      </c>
      <c r="D26" s="5" t="s">
        <v>867</v>
      </c>
      <c r="E26" s="5" t="s">
        <v>857</v>
      </c>
      <c r="F26" s="5" t="s">
        <v>858</v>
      </c>
    </row>
    <row r="27" spans="1:6" ht="21.95" customHeight="1">
      <c r="A27" s="5" t="s">
        <v>855</v>
      </c>
      <c r="B27" s="5" t="s">
        <v>123</v>
      </c>
      <c r="C27" s="5" t="s">
        <v>124</v>
      </c>
      <c r="D27" s="5" t="s">
        <v>868</v>
      </c>
      <c r="E27" s="5" t="s">
        <v>857</v>
      </c>
      <c r="F27" s="5" t="s">
        <v>858</v>
      </c>
    </row>
    <row r="28" spans="1:6" ht="21.95" customHeight="1">
      <c r="A28" s="5" t="s">
        <v>855</v>
      </c>
      <c r="B28" s="5" t="s">
        <v>129</v>
      </c>
      <c r="C28" s="5" t="s">
        <v>130</v>
      </c>
      <c r="D28" s="5" t="s">
        <v>869</v>
      </c>
      <c r="E28" s="5" t="s">
        <v>857</v>
      </c>
      <c r="F28" s="5" t="s">
        <v>858</v>
      </c>
    </row>
    <row r="29" spans="1:6" ht="21.95" customHeight="1">
      <c r="A29" s="5" t="s">
        <v>855</v>
      </c>
      <c r="B29" s="5" t="s">
        <v>134</v>
      </c>
      <c r="C29" s="5" t="s">
        <v>135</v>
      </c>
      <c r="D29" s="5" t="s">
        <v>870</v>
      </c>
      <c r="E29" s="5" t="s">
        <v>857</v>
      </c>
      <c r="F29" s="5" t="s">
        <v>858</v>
      </c>
    </row>
    <row r="30" spans="1:6" ht="21.95" customHeight="1">
      <c r="A30" s="5" t="s">
        <v>855</v>
      </c>
      <c r="B30" s="5" t="s">
        <v>139</v>
      </c>
      <c r="C30" s="5" t="s">
        <v>140</v>
      </c>
      <c r="D30" s="5" t="s">
        <v>871</v>
      </c>
      <c r="E30" s="5" t="s">
        <v>857</v>
      </c>
      <c r="F30" s="5" t="s">
        <v>858</v>
      </c>
    </row>
    <row r="31" spans="1:6" ht="21.95" customHeight="1">
      <c r="A31" s="5" t="s">
        <v>855</v>
      </c>
      <c r="B31" s="5" t="s">
        <v>145</v>
      </c>
      <c r="C31" s="5" t="s">
        <v>146</v>
      </c>
      <c r="D31" s="5" t="s">
        <v>872</v>
      </c>
      <c r="E31" s="5" t="s">
        <v>857</v>
      </c>
      <c r="F31" s="5" t="s">
        <v>858</v>
      </c>
    </row>
    <row r="32" spans="1:6" ht="21.95" customHeight="1">
      <c r="A32" s="5" t="s">
        <v>855</v>
      </c>
      <c r="B32" s="5" t="s">
        <v>151</v>
      </c>
      <c r="C32" s="5" t="s">
        <v>152</v>
      </c>
      <c r="D32" s="5" t="s">
        <v>873</v>
      </c>
      <c r="E32" s="5" t="s">
        <v>857</v>
      </c>
      <c r="F32" s="5" t="s">
        <v>858</v>
      </c>
    </row>
    <row r="33" spans="1:6" ht="21.95" customHeight="1">
      <c r="A33" s="5" t="s">
        <v>855</v>
      </c>
      <c r="B33" s="5" t="s">
        <v>157</v>
      </c>
      <c r="C33" s="5" t="s">
        <v>158</v>
      </c>
      <c r="D33" s="5" t="s">
        <v>874</v>
      </c>
      <c r="E33" s="5" t="s">
        <v>857</v>
      </c>
      <c r="F33" s="5" t="s">
        <v>858</v>
      </c>
    </row>
    <row r="34" spans="1:6" ht="21.95" customHeight="1">
      <c r="A34" s="5" t="s">
        <v>855</v>
      </c>
      <c r="B34" s="5" t="s">
        <v>161</v>
      </c>
      <c r="C34" s="5" t="s">
        <v>162</v>
      </c>
      <c r="D34" s="5" t="s">
        <v>875</v>
      </c>
      <c r="E34" s="5" t="s">
        <v>857</v>
      </c>
      <c r="F34" s="5" t="s">
        <v>858</v>
      </c>
    </row>
    <row r="35" spans="1:6" ht="21.95" customHeight="1">
      <c r="A35" s="5" t="s">
        <v>855</v>
      </c>
      <c r="B35" s="5" t="s">
        <v>167</v>
      </c>
      <c r="C35" s="5" t="s">
        <v>168</v>
      </c>
      <c r="D35" s="5" t="s">
        <v>876</v>
      </c>
      <c r="E35" s="5" t="s">
        <v>857</v>
      </c>
      <c r="F35" s="5" t="s">
        <v>858</v>
      </c>
    </row>
    <row r="36" spans="1:6" ht="21.95" customHeight="1">
      <c r="A36" s="5" t="s">
        <v>855</v>
      </c>
      <c r="B36" s="5" t="s">
        <v>172</v>
      </c>
      <c r="C36" s="5" t="s">
        <v>173</v>
      </c>
      <c r="D36" s="5" t="s">
        <v>877</v>
      </c>
      <c r="E36" s="5" t="s">
        <v>857</v>
      </c>
      <c r="F36" s="5" t="s">
        <v>858</v>
      </c>
    </row>
    <row r="37" spans="1:6" ht="21.95" customHeight="1">
      <c r="A37" s="5" t="s">
        <v>855</v>
      </c>
      <c r="B37" s="5" t="s">
        <v>176</v>
      </c>
      <c r="C37" s="5" t="s">
        <v>177</v>
      </c>
      <c r="D37" s="5" t="s">
        <v>878</v>
      </c>
      <c r="E37" s="5" t="s">
        <v>857</v>
      </c>
      <c r="F37" s="5" t="s">
        <v>858</v>
      </c>
    </row>
    <row r="38" spans="1:6" ht="21.95" customHeight="1">
      <c r="A38" s="5" t="s">
        <v>855</v>
      </c>
      <c r="B38" s="5" t="s">
        <v>181</v>
      </c>
      <c r="C38" s="5" t="s">
        <v>182</v>
      </c>
      <c r="D38" s="5" t="s">
        <v>879</v>
      </c>
      <c r="E38" s="5" t="s">
        <v>857</v>
      </c>
      <c r="F38" s="5" t="s">
        <v>858</v>
      </c>
    </row>
    <row r="39" spans="1:6" ht="21.95" customHeight="1">
      <c r="A39" s="5" t="s">
        <v>855</v>
      </c>
      <c r="B39" s="5" t="s">
        <v>188</v>
      </c>
      <c r="C39" s="5" t="s">
        <v>189</v>
      </c>
      <c r="D39" s="5" t="s">
        <v>880</v>
      </c>
      <c r="E39" s="5" t="s">
        <v>857</v>
      </c>
      <c r="F39" s="5" t="s">
        <v>858</v>
      </c>
    </row>
    <row r="40" spans="1:6" ht="21.95" customHeight="1">
      <c r="A40" s="5" t="s">
        <v>855</v>
      </c>
      <c r="B40" s="5" t="s">
        <v>194</v>
      </c>
      <c r="C40" s="5" t="s">
        <v>195</v>
      </c>
      <c r="D40" s="5" t="s">
        <v>881</v>
      </c>
      <c r="E40" s="5" t="s">
        <v>857</v>
      </c>
      <c r="F40" s="5" t="s">
        <v>858</v>
      </c>
    </row>
    <row r="41" spans="1:6" ht="21.95" customHeight="1">
      <c r="A41" s="5" t="s">
        <v>855</v>
      </c>
      <c r="B41" s="5" t="s">
        <v>199</v>
      </c>
      <c r="C41" s="5" t="s">
        <v>200</v>
      </c>
      <c r="D41" s="5" t="s">
        <v>882</v>
      </c>
      <c r="E41" s="5" t="s">
        <v>857</v>
      </c>
      <c r="F41" s="5" t="s">
        <v>858</v>
      </c>
    </row>
    <row r="42" spans="1:6" ht="21.95" customHeight="1">
      <c r="A42" s="5" t="s">
        <v>855</v>
      </c>
      <c r="B42" s="5" t="s">
        <v>205</v>
      </c>
      <c r="C42" s="5" t="s">
        <v>206</v>
      </c>
      <c r="D42" s="5" t="s">
        <v>883</v>
      </c>
      <c r="E42" s="5" t="s">
        <v>857</v>
      </c>
      <c r="F42" s="5" t="s">
        <v>858</v>
      </c>
    </row>
    <row r="43" spans="1:6" ht="21.95" customHeight="1">
      <c r="A43" s="5" t="s">
        <v>855</v>
      </c>
      <c r="B43" s="5" t="s">
        <v>211</v>
      </c>
      <c r="C43" s="5" t="s">
        <v>212</v>
      </c>
      <c r="D43" s="5" t="s">
        <v>884</v>
      </c>
      <c r="E43" s="5" t="s">
        <v>857</v>
      </c>
      <c r="F43" s="5" t="s">
        <v>858</v>
      </c>
    </row>
    <row r="44" spans="1:6" ht="21.95" customHeight="1">
      <c r="A44" s="5" t="s">
        <v>855</v>
      </c>
      <c r="B44" s="5" t="s">
        <v>216</v>
      </c>
      <c r="C44" s="5" t="s">
        <v>217</v>
      </c>
      <c r="D44" s="5" t="s">
        <v>885</v>
      </c>
      <c r="E44" s="5" t="s">
        <v>857</v>
      </c>
      <c r="F44" s="5" t="s">
        <v>858</v>
      </c>
    </row>
    <row r="45" spans="1:6" ht="21.95" customHeight="1">
      <c r="A45" s="5" t="s">
        <v>855</v>
      </c>
      <c r="B45" s="5" t="s">
        <v>222</v>
      </c>
      <c r="C45" s="5" t="s">
        <v>223</v>
      </c>
      <c r="D45" s="5" t="s">
        <v>886</v>
      </c>
      <c r="E45" s="5" t="s">
        <v>857</v>
      </c>
      <c r="F45" s="5" t="s">
        <v>858</v>
      </c>
    </row>
    <row r="46" spans="1:6" ht="21.95" customHeight="1">
      <c r="A46" s="5" t="s">
        <v>887</v>
      </c>
      <c r="B46" s="5" t="s">
        <v>2</v>
      </c>
      <c r="C46" s="5" t="s">
        <v>236</v>
      </c>
      <c r="D46" s="5" t="s">
        <v>888</v>
      </c>
      <c r="E46" s="5" t="s">
        <v>889</v>
      </c>
      <c r="F46" s="5" t="s">
        <v>890</v>
      </c>
    </row>
    <row r="47" spans="1:6" ht="21.95" customHeight="1">
      <c r="A47" s="5" t="s">
        <v>887</v>
      </c>
      <c r="B47" s="5" t="s">
        <v>246</v>
      </c>
      <c r="C47" s="5" t="s">
        <v>247</v>
      </c>
      <c r="D47" s="5" t="s">
        <v>891</v>
      </c>
      <c r="E47" s="5" t="s">
        <v>889</v>
      </c>
      <c r="F47" s="5" t="s">
        <v>890</v>
      </c>
    </row>
    <row r="48" spans="1:6" ht="21.95" customHeight="1">
      <c r="A48" s="5" t="s">
        <v>887</v>
      </c>
      <c r="B48" s="5" t="s">
        <v>255</v>
      </c>
      <c r="C48" s="5" t="s">
        <v>256</v>
      </c>
      <c r="D48" s="5" t="s">
        <v>892</v>
      </c>
      <c r="E48" s="5" t="s">
        <v>889</v>
      </c>
      <c r="F48" s="5" t="s">
        <v>890</v>
      </c>
    </row>
    <row r="49" spans="1:6" ht="21.95" customHeight="1">
      <c r="A49" s="5" t="s">
        <v>887</v>
      </c>
      <c r="B49" s="5" t="s">
        <v>264</v>
      </c>
      <c r="C49" s="5" t="s">
        <v>265</v>
      </c>
      <c r="D49" s="5" t="s">
        <v>893</v>
      </c>
      <c r="E49" s="5" t="s">
        <v>889</v>
      </c>
      <c r="F49" s="5" t="s">
        <v>890</v>
      </c>
    </row>
    <row r="50" spans="1:6" ht="21.95" customHeight="1">
      <c r="A50" s="5" t="s">
        <v>887</v>
      </c>
      <c r="B50" s="5" t="s">
        <v>274</v>
      </c>
      <c r="C50" s="5" t="s">
        <v>275</v>
      </c>
      <c r="D50" s="5" t="s">
        <v>894</v>
      </c>
      <c r="E50" s="5" t="s">
        <v>889</v>
      </c>
      <c r="F50" s="5" t="s">
        <v>890</v>
      </c>
    </row>
    <row r="51" spans="1:6" ht="21.95" customHeight="1">
      <c r="A51" s="5" t="s">
        <v>887</v>
      </c>
      <c r="B51" s="5" t="s">
        <v>284</v>
      </c>
      <c r="C51" s="5" t="s">
        <v>285</v>
      </c>
      <c r="D51" s="5" t="s">
        <v>895</v>
      </c>
      <c r="E51" s="5" t="s">
        <v>889</v>
      </c>
      <c r="F51" s="5" t="s">
        <v>890</v>
      </c>
    </row>
    <row r="52" spans="1:6" ht="21.95" customHeight="1">
      <c r="A52" s="5" t="s">
        <v>887</v>
      </c>
      <c r="B52" s="5" t="s">
        <v>295</v>
      </c>
      <c r="C52" s="5" t="s">
        <v>296</v>
      </c>
      <c r="D52" s="5" t="s">
        <v>896</v>
      </c>
      <c r="E52" s="5" t="s">
        <v>889</v>
      </c>
      <c r="F52" s="5" t="s">
        <v>890</v>
      </c>
    </row>
    <row r="53" spans="1:6" ht="21.95" customHeight="1">
      <c r="A53" s="5" t="s">
        <v>887</v>
      </c>
      <c r="B53" s="5" t="s">
        <v>305</v>
      </c>
      <c r="C53" s="5" t="s">
        <v>306</v>
      </c>
      <c r="D53" s="5" t="s">
        <v>897</v>
      </c>
      <c r="E53" s="5" t="s">
        <v>889</v>
      </c>
      <c r="F53" s="5" t="s">
        <v>890</v>
      </c>
    </row>
    <row r="54" spans="1:6" ht="21.95" customHeight="1">
      <c r="A54" s="5" t="s">
        <v>887</v>
      </c>
      <c r="B54" s="5" t="s">
        <v>313</v>
      </c>
      <c r="C54" s="5" t="s">
        <v>314</v>
      </c>
      <c r="D54" s="5" t="s">
        <v>898</v>
      </c>
      <c r="E54" s="5" t="s">
        <v>889</v>
      </c>
      <c r="F54" s="5" t="s">
        <v>890</v>
      </c>
    </row>
    <row r="55" spans="1:6" ht="21.95" customHeight="1">
      <c r="A55" s="5" t="s">
        <v>887</v>
      </c>
      <c r="B55" s="5" t="s">
        <v>322</v>
      </c>
      <c r="C55" s="5" t="s">
        <v>323</v>
      </c>
      <c r="D55" s="5" t="s">
        <v>899</v>
      </c>
      <c r="E55" s="5" t="s">
        <v>889</v>
      </c>
      <c r="F55" s="5" t="s">
        <v>890</v>
      </c>
    </row>
    <row r="56" spans="1:6" ht="21.95" customHeight="1">
      <c r="A56" s="5" t="s">
        <v>887</v>
      </c>
      <c r="B56" s="5" t="s">
        <v>331</v>
      </c>
      <c r="C56" s="5" t="s">
        <v>332</v>
      </c>
      <c r="D56" s="5" t="s">
        <v>900</v>
      </c>
      <c r="E56" s="5" t="s">
        <v>889</v>
      </c>
      <c r="F56" s="5" t="s">
        <v>890</v>
      </c>
    </row>
    <row r="57" spans="1:6" ht="21.95" customHeight="1">
      <c r="A57" s="5" t="s">
        <v>887</v>
      </c>
      <c r="B57" s="5" t="s">
        <v>341</v>
      </c>
      <c r="C57" s="5" t="s">
        <v>342</v>
      </c>
      <c r="D57" s="5" t="s">
        <v>901</v>
      </c>
      <c r="E57" s="5" t="s">
        <v>889</v>
      </c>
      <c r="F57" s="5" t="s">
        <v>890</v>
      </c>
    </row>
    <row r="58" spans="1:6" ht="21.95" customHeight="1">
      <c r="A58" s="5" t="s">
        <v>887</v>
      </c>
      <c r="B58" s="5" t="s">
        <v>349</v>
      </c>
      <c r="C58" s="5" t="s">
        <v>350</v>
      </c>
      <c r="D58" s="5" t="s">
        <v>902</v>
      </c>
      <c r="E58" s="5" t="s">
        <v>889</v>
      </c>
      <c r="F58" s="5" t="s">
        <v>890</v>
      </c>
    </row>
    <row r="59" spans="1:6" ht="21.95" customHeight="1">
      <c r="A59" s="5" t="s">
        <v>887</v>
      </c>
      <c r="B59" s="5" t="s">
        <v>359</v>
      </c>
      <c r="C59" s="5" t="s">
        <v>360</v>
      </c>
      <c r="D59" s="5" t="s">
        <v>903</v>
      </c>
      <c r="E59" s="5" t="s">
        <v>889</v>
      </c>
      <c r="F59" s="5" t="s">
        <v>890</v>
      </c>
    </row>
    <row r="60" spans="1:6" ht="21.95" customHeight="1">
      <c r="A60" s="5" t="s">
        <v>887</v>
      </c>
      <c r="B60" s="5" t="s">
        <v>370</v>
      </c>
      <c r="C60" s="5" t="s">
        <v>371</v>
      </c>
      <c r="D60" s="5" t="s">
        <v>904</v>
      </c>
      <c r="E60" s="5" t="s">
        <v>889</v>
      </c>
      <c r="F60" s="5" t="s">
        <v>890</v>
      </c>
    </row>
    <row r="61" spans="1:6" ht="21.95" customHeight="1">
      <c r="A61" s="5" t="s">
        <v>887</v>
      </c>
      <c r="B61" s="5" t="s">
        <v>381</v>
      </c>
      <c r="C61" s="5" t="s">
        <v>382</v>
      </c>
      <c r="D61" s="5" t="s">
        <v>905</v>
      </c>
      <c r="E61" s="5" t="s">
        <v>889</v>
      </c>
      <c r="F61" s="5" t="s">
        <v>890</v>
      </c>
    </row>
    <row r="62" spans="1:6" ht="21.95" customHeight="1">
      <c r="A62" s="5" t="s">
        <v>887</v>
      </c>
      <c r="B62" s="5" t="s">
        <v>390</v>
      </c>
      <c r="C62" s="5" t="s">
        <v>391</v>
      </c>
      <c r="D62" s="5" t="s">
        <v>906</v>
      </c>
      <c r="E62" s="5" t="s">
        <v>889</v>
      </c>
      <c r="F62" s="5" t="s">
        <v>890</v>
      </c>
    </row>
    <row r="63" spans="1:6" ht="21.95" customHeight="1">
      <c r="A63" s="6" t="s">
        <v>887</v>
      </c>
      <c r="B63" s="6" t="s">
        <v>400</v>
      </c>
      <c r="C63" s="6" t="s">
        <v>401</v>
      </c>
      <c r="D63" s="6" t="s">
        <v>907</v>
      </c>
      <c r="E63" s="6" t="s">
        <v>889</v>
      </c>
      <c r="F63" s="6" t="s">
        <v>890</v>
      </c>
    </row>
  </sheetData>
  <mergeCells count="2">
    <mergeCell ref="A1:F1"/>
    <mergeCell ref="A2:F2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01_Tactic</vt:lpstr>
      <vt:lpstr>02_Technique</vt:lpstr>
      <vt:lpstr>03_Procedure</vt:lpstr>
      <vt:lpstr>04_TA_TE_매핑</vt:lpstr>
      <vt:lpstr>05_TE_PR_매핑</vt:lpstr>
      <vt:lpstr>06_콘텐츠의도</vt:lpstr>
      <vt:lpstr>07_보조정책</vt:lpstr>
      <vt:lpstr>08_코드Enum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이지영</cp:lastModifiedBy>
  <dcterms:created xsi:type="dcterms:W3CDTF">2026-08-20T11:41:46Z</dcterms:created>
  <dcterms:modified xsi:type="dcterms:W3CDTF">2026-08-20T11:49:47Z</dcterms:modified>
</cp:coreProperties>
</file>