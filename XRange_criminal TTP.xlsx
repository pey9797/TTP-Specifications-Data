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iyoung\OneDrive - 대구대학교\바탕 화면\수정후\"/>
    </mc:Choice>
  </mc:AlternateContent>
  <xr:revisionPtr revIDLastSave="0" documentId="13_ncr:1_{0D5C230F-1EDE-4B82-B579-0BFF2D1B34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_C_Tactic" sheetId="3" r:id="rId1"/>
    <sheet name="02_C_Technique" sheetId="4" r:id="rId2"/>
    <sheet name="03_C_Procedure" sheetId="5" r:id="rId3"/>
    <sheet name="04_C_TA_TE_매핑" sheetId="6" r:id="rId4"/>
    <sheet name="05_C_TE_PR_매핑" sheetId="7" r:id="rId5"/>
    <sheet name="06_플랫폼의존" sheetId="8" r:id="rId6"/>
    <sheet name="07_행위형프리셋" sheetId="10" r:id="rId7"/>
    <sheet name="08_코드Enum" sheetId="12" r:id="rId8"/>
    <sheet name="09_구현스키마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1" i="8" l="1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J41" i="4"/>
  <c r="I41" i="4"/>
  <c r="H41" i="4"/>
  <c r="J40" i="4"/>
  <c r="I40" i="4"/>
  <c r="H40" i="4"/>
  <c r="J39" i="4"/>
  <c r="I39" i="4"/>
  <c r="H39" i="4"/>
  <c r="J38" i="4"/>
  <c r="I38" i="4"/>
  <c r="H38" i="4"/>
  <c r="J37" i="4"/>
  <c r="I37" i="4"/>
  <c r="H37" i="4"/>
  <c r="J36" i="4"/>
  <c r="I36" i="4"/>
  <c r="H36" i="4"/>
  <c r="J35" i="4"/>
  <c r="I35" i="4"/>
  <c r="H35" i="4"/>
  <c r="J34" i="4"/>
  <c r="I34" i="4"/>
  <c r="H34" i="4"/>
  <c r="J33" i="4"/>
  <c r="I33" i="4"/>
  <c r="H33" i="4"/>
  <c r="J32" i="4"/>
  <c r="I32" i="4"/>
  <c r="H32" i="4"/>
  <c r="J31" i="4"/>
  <c r="I31" i="4"/>
  <c r="H31" i="4"/>
  <c r="J30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J5" i="4"/>
  <c r="I5" i="4"/>
  <c r="H5" i="4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</calcChain>
</file>

<file path=xl/sharedStrings.xml><?xml version="1.0" encoding="utf-8"?>
<sst xmlns="http://schemas.openxmlformats.org/spreadsheetml/2006/main" count="3652" uniqueCount="1531">
  <si>
    <t>예시</t>
  </si>
  <si>
    <t>XR-C-TA0001</t>
  </si>
  <si>
    <t>XR-C-TE0001</t>
  </si>
  <si>
    <t>XR-C-PR0001</t>
  </si>
  <si>
    <t>XR-C-MT0001</t>
  </si>
  <si>
    <t>XR-C-MP0001</t>
  </si>
  <si>
    <t>XR-C-DP0001</t>
  </si>
  <si>
    <t>XR-C-BP####</t>
  </si>
  <si>
    <t>XR-C-BP0001</t>
  </si>
  <si>
    <t>XR-C-UT####</t>
  </si>
  <si>
    <t>XR-P-* / XR-U-*</t>
  </si>
  <si>
    <t>XR-P-PR0014</t>
  </si>
  <si>
    <t>범죄자 원자 Tactic 16개</t>
  </si>
  <si>
    <t>tactic_id</t>
  </si>
  <si>
    <t>code</t>
  </si>
  <si>
    <t>명칭</t>
  </si>
  <si>
    <t>정의</t>
  </si>
  <si>
    <t>Technique매핑수</t>
  </si>
  <si>
    <t>criminal_target_discovery</t>
  </si>
  <si>
    <t>범죄 대상 탐색</t>
  </si>
  <si>
    <t>잠재적 구매자, 이용자, 피해자 또는 가담 후보의 관심·반응·접촉 가능성을 식별한다.</t>
  </si>
  <si>
    <t>XR-C-TA0002</t>
  </si>
  <si>
    <t>deceptive_credibility_manipulation</t>
  </si>
  <si>
    <t>범죄 신뢰 조작</t>
  </si>
  <si>
    <t>허위 전문성·성과·후기·정체성을 이용해 불법 제안과 계정의 신뢰성을 조작한다.</t>
  </si>
  <si>
    <t>XR-C-TA0003</t>
  </si>
  <si>
    <t>illicit_offer_exposure</t>
  </si>
  <si>
    <t>불법 제공물 노출</t>
  </si>
  <si>
    <t>불법 상품·서비스·콘텐츠·정보의 존재와 이용 가능성을 플랫폼 이용자에게 노출한다.</t>
  </si>
  <si>
    <t>XR-C-TA0004</t>
  </si>
  <si>
    <t>illicit_demand_acquisition</t>
  </si>
  <si>
    <t>불법 수요자 확보</t>
  </si>
  <si>
    <t>불법 상품·서비스·콘텐츠의 구매자, 이용자 또는 의뢰자를 확보한다.</t>
  </si>
  <si>
    <t>XR-C-TA0005</t>
  </si>
  <si>
    <t>criminal_collaborator_recruitment</t>
  </si>
  <si>
    <t>범죄 가담자 확보</t>
  </si>
  <si>
    <t>공범, 운반책, 계좌·계정 제공자 등 범죄 실행 또는 지원 역할의 참여자를 확보한다.</t>
  </si>
  <si>
    <t>XR-C-TA0006</t>
  </si>
  <si>
    <t>offplatform_contact_transition</t>
  </si>
  <si>
    <t>외부 접촉 전환</t>
  </si>
  <si>
    <t>공개 플랫폼에서 외부 사이트·메신저·단체방 또는 비공개 접촉 경로로 이동시킨다.</t>
  </si>
  <si>
    <t>XR-C-TA0007</t>
  </si>
  <si>
    <t>illicit_value_acquisition</t>
  </si>
  <si>
    <t>불법 대가 획득</t>
  </si>
  <si>
    <t>금전, 가상자산, 계정, 정보 또는 기타 경제적 가치의 이전을 유도해 범죄 수익을 확보한다.</t>
  </si>
  <si>
    <t>XR-C-TA0008</t>
  </si>
  <si>
    <t>personal_data_credential_acquisition</t>
  </si>
  <si>
    <t>개인정보·인증정보 확보</t>
  </si>
  <si>
    <t>개인정보, 인증정보, 계정 접근정보 또는 신원확인 자료를 범죄 목적으로 확보한다.</t>
  </si>
  <si>
    <t>XR-C-TA0009</t>
  </si>
  <si>
    <t>illicit_commission_acquisition</t>
  </si>
  <si>
    <t>불법 제작 의뢰 확보</t>
  </si>
  <si>
    <t>불법 콘텐츠 또는 범죄 목적 자료의 제작 요청과 요구사항을 확보한다.</t>
  </si>
  <si>
    <t>XR-C-TA0010</t>
  </si>
  <si>
    <t>illicit_content_production</t>
  </si>
  <si>
    <t>불법 콘텐츠 제작</t>
  </si>
  <si>
    <t>실험 환경에서 범죄 콘텐츠를 대표하는 합성·가상 자산을 생성하거나 구성한다.</t>
  </si>
  <si>
    <t>XR-C-TA0011</t>
  </si>
  <si>
    <t>victim_identification</t>
  </si>
  <si>
    <t>피해자 특정</t>
  </si>
  <si>
    <t>가상 피해자를 구별할 수 있는 이름·계정·지역·이미지 등 식별 단서를 선택하고 결합한다.</t>
  </si>
  <si>
    <t>XR-C-TA0012</t>
  </si>
  <si>
    <t>victim_information_exposure</t>
  </si>
  <si>
    <t>피해자 정보 노출</t>
  </si>
  <si>
    <t>가상 피해자의 식별정보를 범죄 콘텐츠 또는 게시 맥락과 결합해 공개한다.</t>
  </si>
  <si>
    <t>XR-C-TA0013</t>
  </si>
  <si>
    <t>criminal_content_amplification</t>
  </si>
  <si>
    <t>범죄 콘텐츠 확산</t>
  </si>
  <si>
    <t>재게시·인용·다계정 실행을 통해 범죄 관련 콘텐츠의 도달 범위와 반복 노출을 확대한다.</t>
  </si>
  <si>
    <t>XR-C-TA0014</t>
  </si>
  <si>
    <t>criminal_activity_continuity</t>
  </si>
  <si>
    <t>범죄 활동 지속</t>
  </si>
  <si>
    <t>상태 갱신, 반복 게시, 계정 이전 등을 통해 라운드가 바뀌어도 범죄 활동을 계속한다.</t>
  </si>
  <si>
    <t>XR-C-TA0015</t>
  </si>
  <si>
    <t>detection_evasion</t>
  </si>
  <si>
    <t>탐지 회피</t>
  </si>
  <si>
    <t>표현 변형, 미디어화, 정상 콘텐츠 혼합 등으로 탐지 규칙과 모델의 식별 가능성을 낮춘다.</t>
  </si>
  <si>
    <t>XR-C-TA0016</t>
  </si>
  <si>
    <t>enforcement_evasion</t>
  </si>
  <si>
    <t>제재 회피</t>
  </si>
  <si>
    <t>삭제·제한·정지 이후 수정 재발행, 대체 계정 또는 공개범위 변경으로 활동 중단을 회피한다.</t>
  </si>
  <si>
    <t>범죄자 Technique 37개</t>
  </si>
  <si>
    <t>technique_id</t>
  </si>
  <si>
    <t>분류</t>
  </si>
  <si>
    <t>주요파라미터</t>
  </si>
  <si>
    <t>플랫폼의존설명</t>
  </si>
  <si>
    <t>Tactic매핑수</t>
  </si>
  <si>
    <t>범죄Procedure수</t>
  </si>
  <si>
    <t>플랫폼의존수</t>
  </si>
  <si>
    <t>benign_criminal_content_mixing</t>
  </si>
  <si>
    <t>정상·범죄 콘텐츠 혼합 배치</t>
  </si>
  <si>
    <t>7일 실행 큐에 정상 콘텐츠와 범죄 관련 합성 콘텐츠를 설정 비율과 순서로 혼합한다.</t>
  </si>
  <si>
    <t>오케스트레이션</t>
  </si>
  <si>
    <t>criminal_ratio, sequence_pattern, cycle_days</t>
  </si>
  <si>
    <t>각 사건의 실제 발행은 플랫폼 공통 Procedure가 수행</t>
  </si>
  <si>
    <t>XR-C-TE0002</t>
  </si>
  <si>
    <t>expertise_signaling</t>
  </si>
  <si>
    <t>전문성 암시</t>
  </si>
  <si>
    <t>가상 전문성·경력·일관된 설명을 이용해 범죄 제안의 신뢰도를 조작한다.</t>
  </si>
  <si>
    <t>기망표현</t>
  </si>
  <si>
    <t>claim_template_id, strength</t>
  </si>
  <si>
    <t>범죄 의미를 구성한 뒤 공통 본문 설정·발행 실행</t>
  </si>
  <si>
    <t>XR-C-TE0003</t>
  </si>
  <si>
    <t>engagement_probe_post</t>
  </si>
  <si>
    <t>불법 문의·반응 탐색 게시</t>
  </si>
  <si>
    <t>문의·답글·참여를 유도한 뒤 가상 반응 신호로 관심 대상군을 탐색한다.</t>
  </si>
  <si>
    <t>대상탐색</t>
  </si>
  <si>
    <t>prompt_template_id, action_type, signal_window</t>
  </si>
  <si>
    <t>게시 전 대상 선택과 게시 후 반응 평가를 이산사건으로 연결</t>
  </si>
  <si>
    <t>XR-C-TE0004</t>
  </si>
  <si>
    <t>interest_marker_insertion</t>
  </si>
  <si>
    <t>관심 표식 삽입</t>
  </si>
  <si>
    <t>합성 키워드·해시태그·관심 표식을 포함해 특정 집단의 검색·주제 노출 가능성을 높인다.</t>
  </si>
  <si>
    <t>노출</t>
  </si>
  <si>
    <t>marker_set_id, max_markers</t>
  </si>
  <si>
    <t>합성 표식 값을 공통 해시태그 삽입 Procedure에 전달</t>
  </si>
  <si>
    <t>XR-C-TE0005</t>
  </si>
  <si>
    <t>fabricated_outcome_evidence</t>
  </si>
  <si>
    <t>허위 성과·증빙 제시</t>
  </si>
  <si>
    <t>가상 성과 주장과 선택적 합성 증빙 자산을 결합해 범죄 제안의 신뢰도를 조작한다.</t>
  </si>
  <si>
    <t>outcome_template_id, magnitude_level, evidence_type</t>
  </si>
  <si>
    <t>증빙 자산 첨부는 이미지·영상 공통 Procedure 중 하나를 사용</t>
  </si>
  <si>
    <t>XR-C-TE0006</t>
  </si>
  <si>
    <t>fabricated_testimonial</t>
  </si>
  <si>
    <t>허위 후기 제시</t>
  </si>
  <si>
    <t>가상 인물의 이용 후기·성공 경험을 합성하여 다수의 신뢰가 존재하는 것처럼 표현한다.</t>
  </si>
  <si>
    <t>testimonial_template_id, persona_stub_id</t>
  </si>
  <si>
    <t>가상 인물만 사용하고 실제 사용자 후기는 사용하지 않음</t>
  </si>
  <si>
    <t>XR-C-TE0007</t>
  </si>
  <si>
    <t>emotional_narrative_manipulation</t>
  </si>
  <si>
    <t>감정적 사연 조작</t>
  </si>
  <si>
    <t>가상 일상·피해·관계 사연을 반복 공유하여 정서적 반응과 금전·행동 유도를 강화한다.</t>
  </si>
  <si>
    <t>narrative_template_id, emotion, intensity</t>
  </si>
  <si>
    <t>플랫폼 공통 정서 표현 형식 위에 범죄 의도를 추가</t>
  </si>
  <si>
    <t>XR-C-TE0008</t>
  </si>
  <si>
    <t>availability_signaling</t>
  </si>
  <si>
    <t>불법 제공물 가용성 제시</t>
  </si>
  <si>
    <t>불법 상품·서비스·콘텐츠가 현재 제공 가능한 것처럼 가상 상태를 표시한다.</t>
  </si>
  <si>
    <t>제안표현</t>
  </si>
  <si>
    <t>availability_state, quantity_level</t>
  </si>
  <si>
    <t>합법 상품 홍보 형식을 상속하되 범죄 의미는 XR-C에 보존</t>
  </si>
  <si>
    <t>XR-C-TE0009</t>
  </si>
  <si>
    <t>illicit_preview_disclosure</t>
  </si>
  <si>
    <t>불법 제공물 미리보기</t>
  </si>
  <si>
    <t>합성 범죄자산 일부만 미리보기로 제시해 보유·제공 가능성을 강조한다.</t>
  </si>
  <si>
    <t>미디어제안</t>
  </si>
  <si>
    <t>synthetic_asset_id, preview_ratio, mask_level</t>
  </si>
  <si>
    <t>이미지 또는 영상 첨부 대안 중 자산 유형에 맞는 하나를 선택</t>
  </si>
  <si>
    <t>XR-C-TE0010</t>
  </si>
  <si>
    <t>price_benefit_emphasis</t>
  </si>
  <si>
    <t>가격·혜택 강조</t>
  </si>
  <si>
    <t>가상 가격·보상·혜택을 강조해 불법 제공물에 대한 관심과 대가 이전을 유도한다.</t>
  </si>
  <si>
    <t>price_band, benefit_template_id</t>
  </si>
  <si>
    <t>상품·서비스 홍보 형식과 CTA를 상속</t>
  </si>
  <si>
    <t>XR-C-TE0011</t>
  </si>
  <si>
    <t>scarcity_urgency_signaling</t>
  </si>
  <si>
    <t>희소성·긴급성 강조</t>
  </si>
  <si>
    <t>수량·기간·기회가 제한된 것처럼 반복 갱신해 빠른 반응을 유도한다.</t>
  </si>
  <si>
    <t>scarcity_type, urgency_level</t>
  </si>
  <si>
    <t>반복 갱신 시 플랫폼 상황갱신 Technique과 스케줄 정책 사용</t>
  </si>
  <si>
    <t>XR-C-TE0012</t>
  </si>
  <si>
    <t>legitimate_activity_disguise</t>
  </si>
  <si>
    <t>정상 업무·거래 위장</t>
  </si>
  <si>
    <t>범죄 참여·거래 제안을 정상 업무·판매·상담과 유사한 표현 틀로 위장한다.</t>
  </si>
  <si>
    <t>위장</t>
  </si>
  <si>
    <t>disguise_mode, template_id</t>
  </si>
  <si>
    <t>정상 모집·홍보 형식은 플랫폼 공통에서 상속</t>
  </si>
  <si>
    <t>XR-C-TE0013</t>
  </si>
  <si>
    <t>intermediary_role_presentation</t>
  </si>
  <si>
    <t>중개자 역할 제시</t>
  </si>
  <si>
    <t>판매자·구매자·의뢰자·제작자를 연결하는 관리·중개 역할이 존재하는 것처럼 표현한다.</t>
  </si>
  <si>
    <t>중개</t>
  </si>
  <si>
    <t>intermediary_role, claim_template_id</t>
  </si>
  <si>
    <t>문의 유도는 선택적 공통 Technique으로 추가</t>
  </si>
  <si>
    <t>XR-C-TE0014</t>
  </si>
  <si>
    <t>announcement_style_recruitment</t>
  </si>
  <si>
    <t>공고형 모집</t>
  </si>
  <si>
    <t>참여 대상·기간·역할·가상 보상을 공고 형식으로 제시해 수요자 또는 가담자를 모집한다.</t>
  </si>
  <si>
    <t>모집</t>
  </si>
  <si>
    <t>role_type, eligibility, reward_band</t>
  </si>
  <si>
    <t>행사·참여 모집 형식을 상속하고 역할 의미만 범죄자 확장에 저장</t>
  </si>
  <si>
    <t>XR-C-TE0015</t>
  </si>
  <si>
    <t>explained_offplatform_routing</t>
  </si>
  <si>
    <t>설명형 외부 경로 유도</t>
  </si>
  <si>
    <t>외부 경로로 이동해야 하는 가상 이유를 설명하고 XRange 샌드박스 링크로 이동을 유도한다.</t>
  </si>
  <si>
    <t>외부전환</t>
  </si>
  <si>
    <t>rationale_template_id, route_type</t>
  </si>
  <si>
    <t>실제 URL 대신 샌드박스 경로만 공통 링크 첨부 Procedure에 전달</t>
  </si>
  <si>
    <t>XR-C-TE0016</t>
  </si>
  <si>
    <t>preview_led_offplatform_routing</t>
  </si>
  <si>
    <t>미리보기 기반 외부 경로 유도</t>
  </si>
  <si>
    <t>합성 미리보기를 먼저 제시한 뒤 XRange 샌드박스 외부 경로로 이동을 유도한다.</t>
  </si>
  <si>
    <t>synthetic_asset_id, preview_ratio, route_type</t>
  </si>
  <si>
    <t>미디어 형식은 자산 유형에 따라 대안 선택</t>
  </si>
  <si>
    <t>XR-C-TE0017</t>
  </si>
  <si>
    <t>external_contact_handle</t>
  </si>
  <si>
    <t>외부 연락 식별자 제시</t>
  </si>
  <si>
    <t>가상 메신저·채널·연락 계정 식별자를 포스트 또는 프로필 안내 문구에 제시한다.</t>
  </si>
  <si>
    <t>synthetic_contact_id, placement</t>
  </si>
  <si>
    <t>실제 외부 계정이 아닌 합성 식별자만 사용</t>
  </si>
  <si>
    <t>XR-C-TE0018</t>
  </si>
  <si>
    <t>private_contact_transition</t>
  </si>
  <si>
    <t>비공개 접촉 전환</t>
  </si>
  <si>
    <t>공개 대화에서 DM 또는 가상 비공개 채널로 접촉 위치를 전환하도록 요청한다.</t>
  </si>
  <si>
    <t>contact_mode, template_id</t>
  </si>
  <si>
    <t>접촉은 샌드박스 내부 이벤트로만 기록</t>
  </si>
  <si>
    <t>XR-C-TE0019</t>
  </si>
  <si>
    <t>staged_payment_demand</t>
  </si>
  <si>
    <t>단계적 자금 요구</t>
  </si>
  <si>
    <t>초기 가상 자금 요구 이후 추가 요구 단계를 연속 사건으로 구성한다.</t>
  </si>
  <si>
    <t>대가획득</t>
  </si>
  <si>
    <t>stage_no, pretext_type, amount_band</t>
  </si>
  <si>
    <t>실제 결제 없이 상태 전이만 시뮬레이션</t>
  </si>
  <si>
    <t>XR-C-TE0020</t>
  </si>
  <si>
    <t>pretexted_payment_demand</t>
  </si>
  <si>
    <t>명목형 자금 요구</t>
  </si>
  <si>
    <t>구매·수수료·투자·후원 등 명목을 제시해 가상 자금 이전을 요청한다.</t>
  </si>
  <si>
    <t>pretext_type, amount_band</t>
  </si>
  <si>
    <t>실제 계좌·지갑·결제정보 사용 금지</t>
  </si>
  <si>
    <t>XR-C-TE0021</t>
  </si>
  <si>
    <t>data_submission_inducement</t>
  </si>
  <si>
    <t>정보 입력 유도</t>
  </si>
  <si>
    <t>신청·상담을 명목으로 합성 개인정보 필드 입력을 요청하고 샌드박스 양식으로 유도한다.</t>
  </si>
  <si>
    <t>정보확보</t>
  </si>
  <si>
    <t>synthetic_form_id, requested_field_types</t>
  </si>
  <si>
    <t>실제 개인정보는 수집하지 않고 필드 유형과 제출 이벤트만 기록</t>
  </si>
  <si>
    <t>XR-C-TE0022</t>
  </si>
  <si>
    <t>verification_pretext</t>
  </si>
  <si>
    <t>인증 절차 위장</t>
  </si>
  <si>
    <t>본인·계정 확인이 필요하다는 가상 명목으로 인증 절차와 정보 제출을 요구한다.</t>
  </si>
  <si>
    <t>verification_type, template_id</t>
  </si>
  <si>
    <t>실제 인증정보·자격증명 사용 금지</t>
  </si>
  <si>
    <t>XR-C-TE0023</t>
  </si>
  <si>
    <t>illicit_production_capability</t>
  </si>
  <si>
    <t>불법 제작 능력 암시</t>
  </si>
  <si>
    <t>불법 콘텐츠를 제작할 수 있다는 가상 능력·범위·사례를 표현해 의뢰를 유도한다.</t>
  </si>
  <si>
    <t>제작의뢰</t>
  </si>
  <si>
    <t>capability_template_id, capability_level</t>
  </si>
  <si>
    <t>실제 불법 제작물이 아닌 합성 자리표시자만 사용</t>
  </si>
  <si>
    <t>XR-C-TE0024</t>
  </si>
  <si>
    <t>selectable_commission_options</t>
  </si>
  <si>
    <t>선택형 제작 의뢰 항목</t>
  </si>
  <si>
    <t>가상 제작 가능 항목·범위·조건을 선택형 구조로 제시해 의뢰 요구사항을 받는다.</t>
  </si>
  <si>
    <t>option_set_id, max_options</t>
  </si>
  <si>
    <t>선택지는 합성 메타데이터로만 구성</t>
  </si>
  <si>
    <t>XR-C-TE0025</t>
  </si>
  <si>
    <t>synthetic_illicit_asset_generation</t>
  </si>
  <si>
    <t>합성 범죄자산 생성</t>
  </si>
  <si>
    <t>실제 불법 콘텐츠 대신 유형·위험 라벨과 자리표시자만 가진 합성 자산을 생성한다.</t>
  </si>
  <si>
    <t>합성자산</t>
  </si>
  <si>
    <t>asset_type, risk_label, seed</t>
  </si>
  <si>
    <t>생성물은 실험용 자리표시자이며 실제 범죄 콘텐츠를 포함하지 않음</t>
  </si>
  <si>
    <t>XR-C-TE0026</t>
  </si>
  <si>
    <t>multi_identifier_disclosure</t>
  </si>
  <si>
    <t>다중 식별 단서 노출</t>
  </si>
  <si>
    <t>가상 피해자를 유추할 수 있는 복수의 합성 식별 단서를 같은 게시 맥락에 제시한다.</t>
  </si>
  <si>
    <t>피해자노출</t>
  </si>
  <si>
    <t>synthetic_victim_id, identifier_types</t>
  </si>
  <si>
    <t>실존 인물이 아닌 가상 피해자 레지스트리만 사용</t>
  </si>
  <si>
    <t>XR-C-TE0027</t>
  </si>
  <si>
    <t>victim_content_binding</t>
  </si>
  <si>
    <t>피해자 정보-콘텐츠 결합</t>
  </si>
  <si>
    <t>가상 피해자 식별정보와 합성 범죄자산을 하나의 게시 콘텐츠 관계로 결합한다.</t>
  </si>
  <si>
    <t>synthetic_victim_id, synthetic_asset_id</t>
  </si>
  <si>
    <t>합성 자산과 가상 인물만 결합</t>
  </si>
  <si>
    <t>XR-C-TE0028</t>
  </si>
  <si>
    <t>periodic_status_refresh</t>
  </si>
  <si>
    <t>주기적 상태 갱신</t>
  </si>
  <si>
    <t>가상 재고·가격·가능 상태를 시간 또는 사건 조건에 따라 반복 갱신한다.</t>
  </si>
  <si>
    <t>지속</t>
  </si>
  <si>
    <t>interval_distribution, change_fields, max_events</t>
  </si>
  <si>
    <t>발생 시각은 이산사건 정책, 게시 실행은 플랫폼 공통이 담당</t>
  </si>
  <si>
    <t>XR-C-TE0029</t>
  </si>
  <si>
    <t>redistribution_amplification</t>
  </si>
  <si>
    <t>재유통·증폭</t>
  </si>
  <si>
    <t>가상 원본 포스트를 재게시·인용하거나 선택 계정들에 배포하여 반복 노출한다.</t>
  </si>
  <si>
    <t>확산</t>
  </si>
  <si>
    <t>selection_rule, action_mix, account_limit</t>
  </si>
  <si>
    <t>실행 유형에 따라 재게시 또는 인용 절차 묶음을 선택</t>
  </si>
  <si>
    <t>XR-C-TE0030</t>
  </si>
  <si>
    <t>lexical_obfuscation</t>
  </si>
  <si>
    <t>표현 변형·은어화</t>
  </si>
  <si>
    <t>변형어·축약어·은어·암시어를 파라미터로 선택해 합성 텍스트 표현을 변환한다.</t>
  </si>
  <si>
    <t>회피</t>
  </si>
  <si>
    <t>obfuscation_mode, dictionary_id, strength</t>
  </si>
  <si>
    <t>변형 사전은 실험용 합성 어휘만 포함</t>
  </si>
  <si>
    <t>XR-C-TE0031</t>
  </si>
  <si>
    <t>media_embedded_text_delivery</t>
  </si>
  <si>
    <t>미디어 내 텍스트 전달</t>
  </si>
  <si>
    <t>텍스트 비중을 낮추고 합성 이미지·영상 내부에 메시지를 렌더링해 전달한다.</t>
  </si>
  <si>
    <t>media_type, template_id, text_ratio</t>
  </si>
  <si>
    <t>이미지 또는 영상 첨부 Procedure 중 하나를 선택</t>
  </si>
  <si>
    <t>XR-C-TE0032</t>
  </si>
  <si>
    <t>delete_mutate_republish</t>
  </si>
  <si>
    <t>삭제·변형·재발행</t>
  </si>
  <si>
    <t>기존 포스트를 삭제하고 합성 콘텐츠 일부를 변형한 뒤 새로운 포스트로 재발행한다.</t>
  </si>
  <si>
    <t>mutation_scope, mutation_strength, trigger_type</t>
  </si>
  <si>
    <t>범죄자 확장은 변형본 생성만 담당하고 삭제·복제·수정·발행은 공통 실행</t>
  </si>
  <si>
    <t>XR-C-TE0033</t>
  </si>
  <si>
    <t>replacement_account_migration</t>
  </si>
  <si>
    <t>대체 계정 이전</t>
  </si>
  <si>
    <t>제한·정지 이후 가상 대체 계정을 선택하고 새 계정 경로를 안내한다.</t>
  </si>
  <si>
    <t>계정운영</t>
  </si>
  <si>
    <t>candidate_account_ids, notice_template_id</t>
  </si>
  <si>
    <t>계정 상태 변경과 게시 안내를 분리</t>
  </si>
  <si>
    <t>XR-C-TE0034</t>
  </si>
  <si>
    <t>multi_account_amplification</t>
  </si>
  <si>
    <t>다계정 분산·증폭</t>
  </si>
  <si>
    <t>복수의 가상 연계 계정에 재게시·인용·신규 게시 사건을 분산 예약한다.</t>
  </si>
  <si>
    <t>account_limit, action_mix, delay_distribution</t>
  </si>
  <si>
    <t>계정별 실행 사건은 플랫폼 공통 재게시·인용·발행 절차를 사용</t>
  </si>
  <si>
    <t>XR-C-TE0035</t>
  </si>
  <si>
    <t>account_visibility_switching</t>
  </si>
  <si>
    <t>계정 공개범위 전환</t>
  </si>
  <si>
    <t>범죄 활동 단계와 탐지 압력에 따라 가상 계정의 공개범위를 전환한다.</t>
  </si>
  <si>
    <t>visibility, reason_code, detection_threshold</t>
  </si>
  <si>
    <t>게시가 필요한 경우에만 플랫폼 발행 Procedure를 추가</t>
  </si>
  <si>
    <t>XR-C-TE0036</t>
  </si>
  <si>
    <t>identity_impersonation</t>
  </si>
  <si>
    <t>공식·타인 사칭</t>
  </si>
  <si>
    <t>가상 기관·전문가·타인 역할을 흉내 내는 합성 정체성 표현으로 신뢰와 정보 제출을 유도한다.</t>
  </si>
  <si>
    <t>impersonation_role, template_id</t>
  </si>
  <si>
    <t>실존 기관·개인의 로고·신원정보를 사용하지 않음</t>
  </si>
  <si>
    <t>XR-C-TE0037</t>
  </si>
  <si>
    <t>engagement_signal_scoring</t>
  </si>
  <si>
    <t>반응 신호 평가</t>
  </si>
  <si>
    <t>조회·답글·재게시·문의 등 가상 반응을 점수화해 다음 라운드의 대상과 TTP 가중치를 갱신한다.</t>
  </si>
  <si>
    <t>대상평가</t>
  </si>
  <si>
    <t>signal_window, weights, update_rule</t>
  </si>
  <si>
    <t>실행 후 adaptation_history에 점수와 선택 결과를 기록</t>
  </si>
  <si>
    <t>범죄자 전용 원자 Procedure 41개</t>
  </si>
  <si>
    <t>procedure_id</t>
  </si>
  <si>
    <t>실행단계</t>
  </si>
  <si>
    <t>executor</t>
  </si>
  <si>
    <t>parameter_schema</t>
  </si>
  <si>
    <t>선행조건</t>
  </si>
  <si>
    <t>실행효과</t>
  </si>
  <si>
    <t>멱등성</t>
  </si>
  <si>
    <t>event_type</t>
  </si>
  <si>
    <t>safety_guard</t>
  </si>
  <si>
    <t>select_criminal_intent_template</t>
  </si>
  <si>
    <t>범죄 의도 템플릿 선택</t>
  </si>
  <si>
    <t>범죄 분야·행위형·현재 단계에 맞는 합성 콘텐츠 의도 템플릿 하나를 선택한다.</t>
  </si>
  <si>
    <t>의도선택</t>
  </si>
  <si>
    <t>CriminalContentComposer.select_intent_template</t>
  </si>
  <si>
    <t>{"profile_id":"string","behavior_pattern_ids":"array&lt;string&gt;","crime_domain_id":"string","phase":"enum","seed":"integer"}</t>
  </si>
  <si>
    <t>활성 범죄자 프로필과 합성 콘텐츠 풀이 존재</t>
  </si>
  <si>
    <t>draft_plan.content_intent_id 설정</t>
  </si>
  <si>
    <t>동일 seed·입력 멱등</t>
  </si>
  <si>
    <t>CRIMINAL_INTENT_SELECTED</t>
  </si>
  <si>
    <t>synthetic_only</t>
  </si>
  <si>
    <t>XR-C-PR0002</t>
  </si>
  <si>
    <t>select_candidate_target_cohort</t>
  </si>
  <si>
    <t>후보 대상군 선택</t>
  </si>
  <si>
    <t>가상 사용자 집단에서 설정된 관심·역할 조건을 만족하는 후보 대상군을 선택한다.</t>
  </si>
  <si>
    <t>대상선택</t>
  </si>
  <si>
    <t>CriminalTargetingExecutor.select_candidate_cohort</t>
  </si>
  <si>
    <t>{"audience_policy_id":"string","criteria":"object","candidate_limit":"integer","seed":"integer"}</t>
  </si>
  <si>
    <t>가상 사용자 집단과 대상 정책 존재</t>
  </si>
  <si>
    <t>candidate_target_ids 생성</t>
  </si>
  <si>
    <t>TARGET_COHORT_SELECTED</t>
  </si>
  <si>
    <t>synthetic_users_only</t>
  </si>
  <si>
    <t>XR-C-PR0003</t>
  </si>
  <si>
    <t>score_engagement_signals</t>
  </si>
  <si>
    <t>반응 신호 점수화</t>
  </si>
  <si>
    <t>후보 대상군의 조회·답글·재게시 등 가상 반응 신호를 점수화한다.</t>
  </si>
  <si>
    <t>CriminalTargetingExecutor.score_engagement_signals</t>
  </si>
  <si>
    <t>{"candidate_target_ids":"array&lt;string&gt;","signal_window":"string","weights":"object"}</t>
  </si>
  <si>
    <t>후보 대상군과 시뮬레이션 반응 로그 존재</t>
  </si>
  <si>
    <t>target_scores 갱신</t>
  </si>
  <si>
    <t>event_id 기준 1회</t>
  </si>
  <si>
    <t>ENGAGEMENT_SIGNALS_SCORED</t>
  </si>
  <si>
    <t>simulation_logs_only</t>
  </si>
  <si>
    <t>XR-C-PR0004</t>
  </si>
  <si>
    <t>set_content_mix_plan</t>
  </si>
  <si>
    <t>정상·범죄 콘텐츠 혼합 계획 설정</t>
  </si>
  <si>
    <t>7일 실행 큐에서 정상 콘텐츠와 범죄 콘텐츠의 비율·배치 패턴을 설정한다.</t>
  </si>
  <si>
    <t>CriminalOrchestrator.set_content_mix_plan</t>
  </si>
  <si>
    <t>{"cycle_days":"integer","criminal_ratio":"number","sequence_pattern":"enum","seed":"integer"}</t>
  </si>
  <si>
    <t>7일 실행 주기와 정상 콘텐츠 풀이 존재</t>
  </si>
  <si>
    <t>weekly_event_queue의 콘텐츠 유형 배치 설정</t>
  </si>
  <si>
    <t>config_version 기준 멱등</t>
  </si>
  <si>
    <t>CONTENT_MIX_PLAN_SET</t>
  </si>
  <si>
    <t>synthetic_content_only</t>
  </si>
  <si>
    <t>XR-C-PR0005</t>
  </si>
  <si>
    <t>insert_illicit_engagement_prompt</t>
  </si>
  <si>
    <t>불법 문의·반응 문구 삽입</t>
  </si>
  <si>
    <t>합성 범죄 제안에 대한 문의·답글·참여를 유도하는 템플릿 문구를 초안에 삽입한다.</t>
  </si>
  <si>
    <t>콘텐츠편집</t>
  </si>
  <si>
    <t>CriminalContentComposer.insert_engagement_prompt</t>
  </si>
  <si>
    <t>{"draft_id":"string","prompt_template_id":"string","action_type":"enum"}</t>
  </si>
  <si>
    <t>초안과 허용된 합성 템플릿 존재</t>
  </si>
  <si>
    <t>draft.semantic_blocks에 engagement_prompt 추가</t>
  </si>
  <si>
    <t>동일 템플릿 멱등</t>
  </si>
  <si>
    <t>ILLICIT_ENGAGEMENT_PROMPT_INSERTED</t>
  </si>
  <si>
    <t>template_allowlist_only</t>
  </si>
  <si>
    <t>XR-C-PR0006</t>
  </si>
  <si>
    <t>insert_interest_markers</t>
  </si>
  <si>
    <t>특정 관심 집단을 나타내는 합성 키워드·해시태그 후보를 초안 메타데이터에 추가한다.</t>
  </si>
  <si>
    <t>CriminalContentComposer.insert_interest_markers</t>
  </si>
  <si>
    <t>{"draft_id":"string","marker_set_id":"string","max_markers":"integer"}</t>
  </si>
  <si>
    <t>초안과 허용 표식 사전 존재</t>
  </si>
  <si>
    <t>draft.interest_markers 갱신</t>
  </si>
  <si>
    <t>표식 집합 기준 멱등</t>
  </si>
  <si>
    <t>INTEREST_MARKERS_INSERTED</t>
  </si>
  <si>
    <t>synthetic_vocabulary_only</t>
  </si>
  <si>
    <t>XR-C-PR0007</t>
  </si>
  <si>
    <t>insert_expertise_claim</t>
  </si>
  <si>
    <t>전문성 주장 삽입</t>
  </si>
  <si>
    <t>가상 전문성·경력·역할을 암시하는 합성 문구를 초안에 추가한다.</t>
  </si>
  <si>
    <t>CriminalContentComposer.insert_expertise_claim</t>
  </si>
  <si>
    <t>{"draft_id":"string","claim_template_id":"string","strength":"number"}</t>
  </si>
  <si>
    <t>초안과 합성 주장 템플릿 존재</t>
  </si>
  <si>
    <t>draft.semantic_blocks에 expertise_claim 추가</t>
  </si>
  <si>
    <t>EXPERTISE_CLAIM_INSERTED</t>
  </si>
  <si>
    <t>synthetic_claims_only</t>
  </si>
  <si>
    <t>XR-C-PR0008</t>
  </si>
  <si>
    <t>insert_fabricated_outcome_claim</t>
  </si>
  <si>
    <t>허위 성과 주장 삽입</t>
  </si>
  <si>
    <t>가상 수익·성과·성공 결과를 주장하는 합성 문구를 초안에 추가한다.</t>
  </si>
  <si>
    <t>CriminalContentComposer.insert_fabricated_outcome_claim</t>
  </si>
  <si>
    <t>{"draft_id":"string","outcome_template_id":"string","magnitude_level":"integer"}</t>
  </si>
  <si>
    <t>초안과 합성 성과 템플릿 존재</t>
  </si>
  <si>
    <t>draft.semantic_blocks에 fabricated_outcome 추가</t>
  </si>
  <si>
    <t>FABRICATED_OUTCOME_INSERTED</t>
  </si>
  <si>
    <t>XR-C-PR0009</t>
  </si>
  <si>
    <t>set_fabricated_evidence_asset</t>
  </si>
  <si>
    <t>허위 증빙 자산 참조 설정</t>
  </si>
  <si>
    <t>허위 성과 주장을 보강하는 합성 증빙 자산 식별자를 초안에 연결한다.</t>
  </si>
  <si>
    <t>CriminalContentComposer.set_fabricated_evidence_asset</t>
  </si>
  <si>
    <t>{"draft_id":"string","synthetic_asset_id":"string","evidence_type":"enum"}</t>
  </si>
  <si>
    <t>합성 자산 저장소에 자산 존재</t>
  </si>
  <si>
    <t>draft.synthetic_evidence_asset_id 설정</t>
  </si>
  <si>
    <t>자산 ID 기준 멱등</t>
  </si>
  <si>
    <t>FABRICATED_EVIDENCE_SET</t>
  </si>
  <si>
    <t>synthetic_assets_only</t>
  </si>
  <si>
    <t>XR-C-PR0010</t>
  </si>
  <si>
    <t>insert_fabricated_testimonial</t>
  </si>
  <si>
    <t>허위 후기 삽입</t>
  </si>
  <si>
    <t>가상 인물의 성공 경험 또는 이용 후기를 나타내는 합성 텍스트를 초안에 추가한다.</t>
  </si>
  <si>
    <t>CriminalContentComposer.insert_fabricated_testimonial</t>
  </si>
  <si>
    <t>{"draft_id":"string","testimonial_template_id":"string","persona_stub_id":"string"}</t>
  </si>
  <si>
    <t>가상 인물과 합성 후기 템플릿 존재</t>
  </si>
  <si>
    <t>draft.semantic_blocks에 fabricated_testimonial 추가</t>
  </si>
  <si>
    <t>동일 템플릿·가상 인물 멱등</t>
  </si>
  <si>
    <t>FABRICATED_TESTIMONIAL_INSERTED</t>
  </si>
  <si>
    <t>synthetic_person_only</t>
  </si>
  <si>
    <t>XR-C-PR0011</t>
  </si>
  <si>
    <t>insert_emotional_narrative</t>
  </si>
  <si>
    <t>감정적 사연 삽입</t>
  </si>
  <si>
    <t>가상 일상·피해·관계 사연을 이용한 감정 유도 텍스트를 초안에 추가한다.</t>
  </si>
  <si>
    <t>CriminalContentComposer.insert_emotional_narrative</t>
  </si>
  <si>
    <t>{"draft_id":"string","narrative_template_id":"string","emotion":"enum","intensity":"number"}</t>
  </si>
  <si>
    <t>합성 사연 템플릿 존재</t>
  </si>
  <si>
    <t>draft.semantic_blocks에 emotional_narrative 추가</t>
  </si>
  <si>
    <t>EMOTIONAL_NARRATIVE_INSERTED</t>
  </si>
  <si>
    <t>synthetic_story_only</t>
  </si>
  <si>
    <t>XR-C-PR0012</t>
  </si>
  <si>
    <t>insert_availability_claim</t>
  </si>
  <si>
    <t>가용 상태 주장 삽입</t>
  </si>
  <si>
    <t>불법 제공물이 현재 이용 가능한 것처럼 표현하는 합성 상태 문구를 추가한다.</t>
  </si>
  <si>
    <t>CriminalContentComposer.insert_availability_claim</t>
  </si>
  <si>
    <t>{"draft_id":"string","availability_state":"enum","quantity_level":"integer"}</t>
  </si>
  <si>
    <t>초안과 분야 변수 존재</t>
  </si>
  <si>
    <t>draft.offer.availability 갱신</t>
  </si>
  <si>
    <t>동일 상태 멱등</t>
  </si>
  <si>
    <t>AVAILABILITY_CLAIM_INSERTED</t>
  </si>
  <si>
    <t>simulation_offer_only</t>
  </si>
  <si>
    <t>XR-C-PR0013</t>
  </si>
  <si>
    <t>set_preview_disclosure</t>
  </si>
  <si>
    <t>미리보기 공개 범위 설정</t>
  </si>
  <si>
    <t>합성 제공물 자산에서 공개할 미리보기 범위와 표시 방식을 설정한다.</t>
  </si>
  <si>
    <t>CriminalContentComposer.set_preview_disclosure</t>
  </si>
  <si>
    <t>{"draft_id":"string","synthetic_asset_id":"string","preview_ratio":"number","mask_level":"integer"}</t>
  </si>
  <si>
    <t>합성 자산 존재; preview_ratio 허용범위</t>
  </si>
  <si>
    <t>draft.preview_spec 설정</t>
  </si>
  <si>
    <t>동일 설정 멱등</t>
  </si>
  <si>
    <t>PREVIEW_DISCLOSURE_SET</t>
  </si>
  <si>
    <t>XR-C-PR0014</t>
  </si>
  <si>
    <t>insert_price_benefit_claim</t>
  </si>
  <si>
    <t>가격·혜택 주장 삽입</t>
  </si>
  <si>
    <t>가상 가격·보상·혜택 정보를 합성 제안 블록에 추가한다.</t>
  </si>
  <si>
    <t>CriminalContentComposer.insert_price_benefit_claim</t>
  </si>
  <si>
    <t>{"draft_id":"string","price_band":"enum","benefit_template_id":"string"}</t>
  </si>
  <si>
    <t>가상 제안 데이터 존재</t>
  </si>
  <si>
    <t>draft.offer.price_benefit 갱신</t>
  </si>
  <si>
    <t>동일 제안 멱등</t>
  </si>
  <si>
    <t>PRICE_BENEFIT_CLAIM_INSERTED</t>
  </si>
  <si>
    <t>no_real_payment_data</t>
  </si>
  <si>
    <t>XR-C-PR0015</t>
  </si>
  <si>
    <t>insert_scarcity_urgency_claim</t>
  </si>
  <si>
    <t>희소성·긴급성 주장 삽입</t>
  </si>
  <si>
    <t>수량·기간·기회가 제한된 것처럼 표현하는 합성 문구를 추가한다.</t>
  </si>
  <si>
    <t>CriminalContentComposer.insert_scarcity_urgency_claim</t>
  </si>
  <si>
    <t>{"draft_id":"string","scarcity_type":"enum","urgency_level":"integer"}</t>
  </si>
  <si>
    <t>합성 템플릿 존재</t>
  </si>
  <si>
    <t>draft.semantic_blocks에 scarcity_urgency 추가</t>
  </si>
  <si>
    <t>동일 입력 멱등</t>
  </si>
  <si>
    <t>SCARCITY_URGENCY_INSERTED</t>
  </si>
  <si>
    <t>XR-C-PR0016</t>
  </si>
  <si>
    <t>apply_legitimate_activity_disguise</t>
  </si>
  <si>
    <t>정상 활동 위장 적용</t>
  </si>
  <si>
    <t>범죄 참여·거래 제안을 정상 업무·판매·상담처럼 보이도록 합성 표현 틀을 적용한다.</t>
  </si>
  <si>
    <t>콘텐츠변환</t>
  </si>
  <si>
    <t>CriminalContentTransformer.apply_legitimate_activity_disguise</t>
  </si>
  <si>
    <t>{"draft_id":"string","disguise_mode":"enum","template_id":"string"}</t>
  </si>
  <si>
    <t>초안과 위장 템플릿 존재</t>
  </si>
  <si>
    <t>draft.rendering_frame 갱신</t>
  </si>
  <si>
    <t>동일 모드 멱등</t>
  </si>
  <si>
    <t>LEGITIMATE_DISGUISE_APPLIED</t>
  </si>
  <si>
    <t>synthetic_scenario_only</t>
  </si>
  <si>
    <t>XR-C-PR0017</t>
  </si>
  <si>
    <t>insert_intermediary_claim</t>
  </si>
  <si>
    <t>중개자 역할 주장 삽입</t>
  </si>
  <si>
    <t>판매자·구매자·의뢰자·제작자를 연결하는 가상 중개 역할 문구를 추가한다.</t>
  </si>
  <si>
    <t>CriminalContentComposer.insert_intermediary_claim</t>
  </si>
  <si>
    <t>{"draft_id":"string","intermediary_role":"enum","claim_template_id":"string"}</t>
  </si>
  <si>
    <t>합성 역할 템플릿 존재</t>
  </si>
  <si>
    <t>draft.semantic_blocks에 intermediary_claim 추가</t>
  </si>
  <si>
    <t>INTERMEDIARY_CLAIM_INSERTED</t>
  </si>
  <si>
    <t>XR-C-PR0018</t>
  </si>
  <si>
    <t>insert_recruitment_conditions</t>
  </si>
  <si>
    <t>모집 조건 삽입</t>
  </si>
  <si>
    <t>참여 대상·기간·역할·가상 보상 등 모집 조건을 초안에 추가한다.</t>
  </si>
  <si>
    <t>CriminalContentComposer.insert_recruitment_conditions</t>
  </si>
  <si>
    <t>{"draft_id":"string","role_type":"enum","eligibility":"object","reward_band":"enum"}</t>
  </si>
  <si>
    <t>가상 모집 시나리오 존재</t>
  </si>
  <si>
    <t>draft.recruitment_spec 설정</t>
  </si>
  <si>
    <t>동일 조건 멱등</t>
  </si>
  <si>
    <t>RECRUITMENT_CONDITIONS_INSERTED</t>
  </si>
  <si>
    <t>synthetic_recruitment_only</t>
  </si>
  <si>
    <t>XR-C-PR0019</t>
  </si>
  <si>
    <t>insert_offplatform_rationale</t>
  </si>
  <si>
    <t>외부 이동 이유 삽입</t>
  </si>
  <si>
    <t>외부 경로로 이동해야 한다는 합성 이유와 행동유도 문구를 초안에 추가한다.</t>
  </si>
  <si>
    <t>CriminalContentComposer.insert_offplatform_rationale</t>
  </si>
  <si>
    <t>{"draft_id":"string","rationale_template_id":"string","route_type":"enum"}</t>
  </si>
  <si>
    <t>허용된 샌드박스 경로 템플릿 존재</t>
  </si>
  <si>
    <t>draft.semantic_blocks에 offplatform_rationale 추가</t>
  </si>
  <si>
    <t>OFFPLATFORM_RATIONALE_INSERTED</t>
  </si>
  <si>
    <t>sandbox_routes_only</t>
  </si>
  <si>
    <t>XR-C-PR0020</t>
  </si>
  <si>
    <t>select_sandbox_external_route</t>
  </si>
  <si>
    <t>샌드박스 외부 경로 선택</t>
  </si>
  <si>
    <t>실제 외부 서비스가 아닌 XRange 내부 가상 링크·메신저 경로를 선택한다.</t>
  </si>
  <si>
    <t>경로선택</t>
  </si>
  <si>
    <t>CriminalRouteSelector.select_sandbox_route</t>
  </si>
  <si>
    <t>{"profile_id":"string","route_type":"enum","allowed_route_ids":"array&lt;string&gt;","seed":"integer"}</t>
  </si>
  <si>
    <t>샌드박스 경로 레지스트리 존재</t>
  </si>
  <si>
    <t>selected_route_id 생성</t>
  </si>
  <si>
    <t>SANDBOX_ROUTE_SELECTED</t>
  </si>
  <si>
    <t>no_external_network</t>
  </si>
  <si>
    <t>XR-C-PR0021</t>
  </si>
  <si>
    <t>insert_external_contact_handle</t>
  </si>
  <si>
    <t>외부 연락 식별자 삽입</t>
  </si>
  <si>
    <t>가상 연락 계정 또는 채널 식별자를 초안에 추가한다.</t>
  </si>
  <si>
    <t>CriminalContentComposer.insert_external_contact_handle</t>
  </si>
  <si>
    <t>{"draft_id":"string","synthetic_contact_id":"string","placement":"enum"}</t>
  </si>
  <si>
    <t>합성 연락 식별자 존재</t>
  </si>
  <si>
    <t>draft.contact_handle 설정</t>
  </si>
  <si>
    <t>동일 식별자 멱등</t>
  </si>
  <si>
    <t>EXTERNAL_CONTACT_HANDLE_INSERTED</t>
  </si>
  <si>
    <t>synthetic_identifiers_only</t>
  </si>
  <si>
    <t>XR-C-PR0022</t>
  </si>
  <si>
    <t>insert_private_contact_request</t>
  </si>
  <si>
    <t>비공개 접촉 요청 삽입</t>
  </si>
  <si>
    <t>DM 또는 가상 비공개 채널로 전환하도록 요청하는 합성 문구를 추가한다.</t>
  </si>
  <si>
    <t>CriminalContentComposer.insert_private_contact_request</t>
  </si>
  <si>
    <t>{"draft_id":"string","contact_mode":"enum","template_id":"string"}</t>
  </si>
  <si>
    <t>허용된 비공개 접촉 모드 존재</t>
  </si>
  <si>
    <t>draft.semantic_blocks에 private_contact_request 추가</t>
  </si>
  <si>
    <t>PRIVATE_CONTACT_REQUEST_INSERTED</t>
  </si>
  <si>
    <t>sandbox_contact_only</t>
  </si>
  <si>
    <t>XR-C-PR0023</t>
  </si>
  <si>
    <t>insert_payment_pretext</t>
  </si>
  <si>
    <t>자금 요구 명목 삽입</t>
  </si>
  <si>
    <t>구매·수수료·투자·후원 등 가상 자금 요구 명목을 초안에 추가한다.</t>
  </si>
  <si>
    <t>CriminalContentComposer.insert_payment_pretext</t>
  </si>
  <si>
    <t>{"draft_id":"string","pretext_type":"enum","amount_band":"enum"}</t>
  </si>
  <si>
    <t>가상 결제 시나리오 존재</t>
  </si>
  <si>
    <t>draft.payment_pretext 설정</t>
  </si>
  <si>
    <t>PAYMENT_PRETEXT_INSERTED</t>
  </si>
  <si>
    <t>no_real_payment</t>
  </si>
  <si>
    <t>XR-C-PR0024</t>
  </si>
  <si>
    <t>append_staged_payment_request</t>
  </si>
  <si>
    <t>후속 자금 요구 단계 추가</t>
  </si>
  <si>
    <t>첫 요구 이후 추가 가상 자금 요구 단계를 시나리오 큐에 추가한다.</t>
  </si>
  <si>
    <t>시나리오진행</t>
  </si>
  <si>
    <t>CriminalScenarioExecutor.append_staged_payment_request</t>
  </si>
  <si>
    <t>{"scenario_id":"string","stage_no":"integer","pretext_type":"enum","amount_band":"enum"}</t>
  </si>
  <si>
    <t>이전 가상 자금 요구 단계 완료</t>
  </si>
  <si>
    <t>scenario.payment_stages에 단계 추가</t>
  </si>
  <si>
    <t>stage_no 기준 멱등</t>
  </si>
  <si>
    <t>STAGED_PAYMENT_REQUEST_APPENDED</t>
  </si>
  <si>
    <t>XR-C-PR0025</t>
  </si>
  <si>
    <t>insert_data_submission_request</t>
  </si>
  <si>
    <t>정보 제출 요청 삽입</t>
  </si>
  <si>
    <t>상담·신청을 명목으로 합성 개인정보 필드 제출을 요청하는 문구를 추가한다.</t>
  </si>
  <si>
    <t>CriminalContentComposer.insert_data_submission_request</t>
  </si>
  <si>
    <t>{"draft_id":"string","synthetic_form_id":"string","requested_field_types":"array&lt;enum&gt;"}</t>
  </si>
  <si>
    <t>가상 입력 양식 존재</t>
  </si>
  <si>
    <t>draft.data_request_spec 설정</t>
  </si>
  <si>
    <t>동일 양식 멱등</t>
  </si>
  <si>
    <t>DATA_SUBMISSION_REQUEST_INSERTED</t>
  </si>
  <si>
    <t>no_real_personal_data</t>
  </si>
  <si>
    <t>XR-C-PR0026</t>
  </si>
  <si>
    <t>insert_verification_pretext</t>
  </si>
  <si>
    <t>인증 절차 명목 삽입</t>
  </si>
  <si>
    <t>본인·계정 확인이 필요하다는 합성 인증 명목과 절차 설명을 추가한다.</t>
  </si>
  <si>
    <t>CriminalContentComposer.insert_verification_pretext</t>
  </si>
  <si>
    <t>{"draft_id":"string","verification_type":"enum","template_id":"string"}</t>
  </si>
  <si>
    <t>가상 인증 시나리오 존재</t>
  </si>
  <si>
    <t>draft.verification_pretext 설정</t>
  </si>
  <si>
    <t>VERIFICATION_PRETEXT_INSERTED</t>
  </si>
  <si>
    <t>no_real_credentials</t>
  </si>
  <si>
    <t>XR-C-PR0027</t>
  </si>
  <si>
    <t>insert_production_capability_claim</t>
  </si>
  <si>
    <t>제작 가능 주장 삽입</t>
  </si>
  <si>
    <t>불법 콘텐츠를 제작할 수 있다는 합성 능력·범위 주장을 초안에 추가한다.</t>
  </si>
  <si>
    <t>CriminalContentComposer.insert_production_capability_claim</t>
  </si>
  <si>
    <t>{"draft_id":"string","capability_template_id":"string","capability_level":"integer"}</t>
  </si>
  <si>
    <t>합성 제작 시나리오 존재</t>
  </si>
  <si>
    <t>draft.production_capability 설정</t>
  </si>
  <si>
    <t>PRODUCTION_CAPABILITY_INSERTED</t>
  </si>
  <si>
    <t>XR-C-PR0028</t>
  </si>
  <si>
    <t>insert_commission_options</t>
  </si>
  <si>
    <t>제작 의뢰 선택항목 삽입</t>
  </si>
  <si>
    <t>가상 제작 의뢰에서 선택 가능한 항목과 범위를 구조화해 초안에 추가한다.</t>
  </si>
  <si>
    <t>CriminalContentComposer.insert_commission_options</t>
  </si>
  <si>
    <t>{"draft_id":"string","option_set_id":"string","max_options":"integer"}</t>
  </si>
  <si>
    <t>합성 옵션 사전 존재</t>
  </si>
  <si>
    <t>draft.commission_options 설정</t>
  </si>
  <si>
    <t>옵션 집합 기준 멱등</t>
  </si>
  <si>
    <t>COMMISSION_OPTIONS_INSERTED</t>
  </si>
  <si>
    <t>synthetic_options_only</t>
  </si>
  <si>
    <t>XR-C-PR0029</t>
  </si>
  <si>
    <t>create_synthetic_illicit_asset_stub</t>
  </si>
  <si>
    <t>합성 범죄자산 더미 생성</t>
  </si>
  <si>
    <t>실제 불법 콘텐츠 대신 유형·위험 라벨과 시각적 자리표시자만 가진 합성 자산을 생성한다.</t>
  </si>
  <si>
    <t>합성자산생성</t>
  </si>
  <si>
    <t>SyntheticContentGenerator.create_illicit_asset_stub</t>
  </si>
  <si>
    <t>{"scenario_id":"string","asset_type":"enum","risk_label":"string","seed":"integer"}</t>
  </si>
  <si>
    <t>합성 전용 모드 활성</t>
  </si>
  <si>
    <t>synthetic_asset_id 생성</t>
  </si>
  <si>
    <t>동일 seed·시나리오 멱등</t>
  </si>
  <si>
    <t>SYNTHETIC_ILLICIT_ASSET_CREATED</t>
  </si>
  <si>
    <t>placeholder_only</t>
  </si>
  <si>
    <t>XR-C-PR0030</t>
  </si>
  <si>
    <t>insert_synthetic_victim_identifiers</t>
  </si>
  <si>
    <t>가상 피해자 식별단서 삽입</t>
  </si>
  <si>
    <t>가상 피해자 프로필의 이름·계정·지역 등 합성 식별단서를 초안에 추가한다.</t>
  </si>
  <si>
    <t>CriminalContentComposer.insert_synthetic_victim_identifiers</t>
  </si>
  <si>
    <t>{"draft_id":"string","synthetic_victim_id":"string","identifier_types":"array&lt;enum&gt;"}</t>
  </si>
  <si>
    <t>가상 피해자 레지스트리에 프로필 존재</t>
  </si>
  <si>
    <t>draft.synthetic_victim_identifiers 설정</t>
  </si>
  <si>
    <t>피해자 ID·유형 집합 멱등</t>
  </si>
  <si>
    <t>SYNTHETIC_VICTIM_IDENTIFIERS_INSERTED</t>
  </si>
  <si>
    <t>XR-C-PR0031</t>
  </si>
  <si>
    <t>bind_synthetic_victim_to_asset</t>
  </si>
  <si>
    <t>가상 피해자-자산 결합</t>
  </si>
  <si>
    <t>가상 피해자 식별자와 합성 범죄자산 참조를 하나의 콘텐츠 관계로 연결한다.</t>
  </si>
  <si>
    <t>콘텐츠결합</t>
  </si>
  <si>
    <t>CriminalContentComposer.bind_synthetic_victim_to_asset</t>
  </si>
  <si>
    <t>{"draft_id":"string","synthetic_victim_id":"string","synthetic_asset_id":"string"}</t>
  </si>
  <si>
    <t>가상 피해자와 합성 자산 존재</t>
  </si>
  <si>
    <t>draft.victim_asset_binding 설정</t>
  </si>
  <si>
    <t>관계키 기준 멱등</t>
  </si>
  <si>
    <t>SYNTHETIC_VICTIM_ASSET_BOUND</t>
  </si>
  <si>
    <t>synthetic_entities_only</t>
  </si>
  <si>
    <t>XR-C-PR0032</t>
  </si>
  <si>
    <t>apply_lexical_obfuscation</t>
  </si>
  <si>
    <t>표현 변형 적용</t>
  </si>
  <si>
    <t>변형어·축약어·은어·암시어 중 설정된 모드로 합성 텍스트 표현을 변환한다.</t>
  </si>
  <si>
    <t>CriminalContentTransformer.apply_lexical_obfuscation</t>
  </si>
  <si>
    <t>{"draft_id":"string","obfuscation_mode":"enum","dictionary_id":"string","strength":"number"}</t>
  </si>
  <si>
    <t>합성 변형 사전 존재</t>
  </si>
  <si>
    <t>draft.body_text 또는 semantic_blocks 변환</t>
  </si>
  <si>
    <t>동일 모드·사전 멱등</t>
  </si>
  <si>
    <t>LEXICAL_OBFUSCATION_APPLIED</t>
  </si>
  <si>
    <t>XR-C-PR0033</t>
  </si>
  <si>
    <t>render_payload_to_synthetic_media</t>
  </si>
  <si>
    <t>텍스트를 합성 미디어에 렌더링</t>
  </si>
  <si>
    <t>합성 텍스트 페이로드를 이미지·영상 자리표시자에 렌더링하여 미디어 자산을 생성한다.</t>
  </si>
  <si>
    <t>합성자산변환</t>
  </si>
  <si>
    <t>SyntheticContentGenerator.render_payload_to_media</t>
  </si>
  <si>
    <t>{"text_payload_id":"string","media_type":"enum","template_id":"string","seed":"integer"}</t>
  </si>
  <si>
    <t>합성 텍스트와 미디어 템플릿 존재</t>
  </si>
  <si>
    <t>synthetic_media_id 생성</t>
  </si>
  <si>
    <t>PAYLOAD_RENDERED_TO_SYNTHETIC_MEDIA</t>
  </si>
  <si>
    <t>synthetic_media_only</t>
  </si>
  <si>
    <t>XR-C-PR0034</t>
  </si>
  <si>
    <t>mutate_content_variant</t>
  </si>
  <si>
    <t>콘텐츠 변형본 생성</t>
  </si>
  <si>
    <t>기존 합성 초안의 표현·자산·배치 일부를 변경한 새로운 변형본을 생성한다.</t>
  </si>
  <si>
    <t>CriminalContentTransformer.mutate_content_variant</t>
  </si>
  <si>
    <t>{"source_draft_id":"string","mutation_scope":"array&lt;enum&gt;","mutation_strength":"number","seed":"integer"}</t>
  </si>
  <si>
    <t>원본 합성 초안 존재</t>
  </si>
  <si>
    <t>variant_draft_id 생성</t>
  </si>
  <si>
    <t>CONTENT_VARIANT_CREATED</t>
  </si>
  <si>
    <t>XR-C-PR0035</t>
  </si>
  <si>
    <t>schedule_periodic_status_refresh</t>
  </si>
  <si>
    <t>주기적 상태 갱신 예약</t>
  </si>
  <si>
    <t>가상 재고·가격·가능 상태의 변경 이벤트를 이산사건 큐에 예약한다.</t>
  </si>
  <si>
    <t>스케줄</t>
  </si>
  <si>
    <t>CriminalEventScheduler.schedule_status_refresh</t>
  </si>
  <si>
    <t>{"profile_id":"string","interval_distribution":"object","change_fields":"array&lt;string&gt;","max_events":"integer"}</t>
  </si>
  <si>
    <t>활성 프로필과 7일 주기 존재</t>
  </si>
  <si>
    <t>future_event_queue에 갱신 사건 추가</t>
  </si>
  <si>
    <t>event_key 기준 멱등</t>
  </si>
  <si>
    <t>PERIODIC_STATUS_REFRESH_SCHEDULED</t>
  </si>
  <si>
    <t>simulation_time_only</t>
  </si>
  <si>
    <t>XR-C-PR0036</t>
  </si>
  <si>
    <t>select_replacement_account</t>
  </si>
  <si>
    <t>대체 계정 선택</t>
  </si>
  <si>
    <t>제한·정지된 계정과 연결된 가상 대체 계정 하나를 선택한다.</t>
  </si>
  <si>
    <t>계정선택</t>
  </si>
  <si>
    <t>CriminalAccountExecutor.select_replacement_account</t>
  </si>
  <si>
    <t>{"agent_id":"string","current_account_id":"string","candidate_account_ids":"array&lt;string&gt;","seed":"integer"}</t>
  </si>
  <si>
    <t>현재 계정 상태가 limited 또는 suspended</t>
  </si>
  <si>
    <t>replacement_account_id 생성</t>
  </si>
  <si>
    <t>동일 seed·상태 멱등</t>
  </si>
  <si>
    <t>REPLACEMENT_ACCOUNT_SELECTED</t>
  </si>
  <si>
    <t>synthetic_accounts_only</t>
  </si>
  <si>
    <t>XR-C-PR0037</t>
  </si>
  <si>
    <t>compose_replacement_account_notice</t>
  </si>
  <si>
    <t>대체 계정 안내 구성</t>
  </si>
  <si>
    <t>선택된 가상 대체 계정을 안내하는 합성 문구와 언급 정보를 구성한다.</t>
  </si>
  <si>
    <t>CriminalContentComposer.compose_replacement_account_notice</t>
  </si>
  <si>
    <t>{"draft_id":"string","replacement_account_id":"string","notice_template_id":"string"}</t>
  </si>
  <si>
    <t>대체 계정 선택 완료</t>
  </si>
  <si>
    <t>draft.replacement_account_notice 설정</t>
  </si>
  <si>
    <t>동일 계정·템플릿 멱등</t>
  </si>
  <si>
    <t>REPLACEMENT_ACCOUNT_NOTICE_COMPOSED</t>
  </si>
  <si>
    <t>XR-C-PR0038</t>
  </si>
  <si>
    <t>switch_account_visibility</t>
  </si>
  <si>
    <t>가상 범죄 계정의 공개범위를 public 또는 private 상태로 전환한다.</t>
  </si>
  <si>
    <t>계정상태변경</t>
  </si>
  <si>
    <t>CriminalAccountExecutor.switch_visibility</t>
  </si>
  <si>
    <t>{"account_id":"string","visibility":"enum","reason_code":"string"}</t>
  </si>
  <si>
    <t>가상 계정 존재; 정책상 전환 허용</t>
  </si>
  <si>
    <t>account.visibility 갱신</t>
  </si>
  <si>
    <t>ACCOUNT_VISIBILITY_SWITCHED</t>
  </si>
  <si>
    <t>XR-C-PR0039</t>
  </si>
  <si>
    <t>select_source_post_for_amplification</t>
  </si>
  <si>
    <t>확산 원본 포스트 선택</t>
  </si>
  <si>
    <t>재게시·인용·다계정 실행에 사용할 가상 원본 포스트 하나를 선택한다.</t>
  </si>
  <si>
    <t>확산선택</t>
  </si>
  <si>
    <t>CriminalAmplificationExecutor.select_source_post</t>
  </si>
  <si>
    <t>{"candidate_post_ids":"array&lt;string&gt;","selection_rule":"enum","seed":"integer"}</t>
  </si>
  <si>
    <t>가상 후보 포스트 존재</t>
  </si>
  <si>
    <t>source_post_id 생성</t>
  </si>
  <si>
    <t>AMPLIFICATION_SOURCE_SELECTED</t>
  </si>
  <si>
    <t>synthetic_posts_only</t>
  </si>
  <si>
    <t>XR-C-PR0040</t>
  </si>
  <si>
    <t>select_amplification_accounts</t>
  </si>
  <si>
    <t>확산 계정 집합 선택</t>
  </si>
  <si>
    <t>원본 포스트를 확산할 가상 계정 집합을 선택한다.</t>
  </si>
  <si>
    <t>CriminalAmplificationExecutor.select_accounts</t>
  </si>
  <si>
    <t>{"agent_id":"string","candidate_account_ids":"array&lt;string&gt;","account_limit":"integer","seed":"integer"}</t>
  </si>
  <si>
    <t>가상 연계 계정 존재</t>
  </si>
  <si>
    <t>amplification_account_ids 생성</t>
  </si>
  <si>
    <t>AMPLIFICATION_ACCOUNTS_SELECTED</t>
  </si>
  <si>
    <t>XR-C-PR0041</t>
  </si>
  <si>
    <t>enqueue_cross_account_actions</t>
  </si>
  <si>
    <t>교차계정 확산행위 예약</t>
  </si>
  <si>
    <t>선택된 가상 계정별 재게시·인용·신규 게시 사건을 이산사건 큐에 추가한다.</t>
  </si>
  <si>
    <t>확산예약</t>
  </si>
  <si>
    <t>CriminalAmplificationExecutor.enqueue_actions</t>
  </si>
  <si>
    <t>{"source_post_id":"string","account_ids":"array&lt;string&gt;","action_mix":"object","delay_distribution":"object"}</t>
  </si>
  <si>
    <t>확산 원본과 계정 집합 선택 완료</t>
  </si>
  <si>
    <t>future_event_queue에 계정별 실행 사건 추가</t>
  </si>
  <si>
    <t>CROSS_ACCOUNT_ACTIONS_ENQUEUED</t>
  </si>
  <si>
    <t>범죄자 Tactic–Technique 매핑</t>
  </si>
  <si>
    <t>mapping_id</t>
  </si>
  <si>
    <t>relation_type</t>
  </si>
  <si>
    <t>매핑근거</t>
  </si>
  <si>
    <t>mapping_key</t>
  </si>
  <si>
    <t>supports</t>
  </si>
  <si>
    <t>정상·범죄 콘텐츠 혼합 배치이 범죄 활동 지속 달성에 사용됨</t>
  </si>
  <si>
    <t>XR-C-MT0002</t>
  </si>
  <si>
    <t>정상·범죄 콘텐츠 혼합 배치이 탐지 회피 달성에 사용됨</t>
  </si>
  <si>
    <t>XR-C-MT0003</t>
  </si>
  <si>
    <t>전문성 암시이 범죄 신뢰 조작 달성에 사용됨</t>
  </si>
  <si>
    <t>XR-C-MT0004</t>
  </si>
  <si>
    <t>불법 문의·반응 탐색 게시이 범죄 대상 탐색 달성에 사용됨</t>
  </si>
  <si>
    <t>XR-C-MT0005</t>
  </si>
  <si>
    <t>불법 문의·반응 탐색 게시이 불법 수요자 확보 달성에 사용됨</t>
  </si>
  <si>
    <t>XR-C-MT0006</t>
  </si>
  <si>
    <t>불법 문의·반응 탐색 게시이 범죄 가담자 확보 달성에 사용됨</t>
  </si>
  <si>
    <t>XR-C-MT0007</t>
  </si>
  <si>
    <t>관심 표식 삽입이 범죄 대상 탐색 달성에 사용됨</t>
  </si>
  <si>
    <t>XR-C-MT0008</t>
  </si>
  <si>
    <t>관심 표식 삽입이 불법 제공물 노출 달성에 사용됨</t>
  </si>
  <si>
    <t>XR-C-MT0009</t>
  </si>
  <si>
    <t>관심 표식 삽입이 불법 수요자 확보 달성에 사용됨</t>
  </si>
  <si>
    <t>XR-C-MT0010</t>
  </si>
  <si>
    <t>허위 성과·증빙 제시이 범죄 신뢰 조작 달성에 사용됨</t>
  </si>
  <si>
    <t>XR-C-MT0011</t>
  </si>
  <si>
    <t>허위 성과·증빙 제시이 불법 수요자 확보 달성에 사용됨</t>
  </si>
  <si>
    <t>XR-C-MT0012</t>
  </si>
  <si>
    <t>허위 후기 제시이 범죄 신뢰 조작 달성에 사용됨</t>
  </si>
  <si>
    <t>XR-C-MT0013</t>
  </si>
  <si>
    <t>허위 후기 제시이 불법 수요자 확보 달성에 사용됨</t>
  </si>
  <si>
    <t>XR-C-MT0014</t>
  </si>
  <si>
    <t>감정적 사연 조작이 범죄 신뢰 조작 달성에 사용됨</t>
  </si>
  <si>
    <t>XR-C-MT0015</t>
  </si>
  <si>
    <t>감정적 사연 조작이 불법 수요자 확보 달성에 사용됨</t>
  </si>
  <si>
    <t>XR-C-MT0016</t>
  </si>
  <si>
    <t>감정적 사연 조작이 불법 대가 획득 달성에 사용됨</t>
  </si>
  <si>
    <t>XR-C-MT0017</t>
  </si>
  <si>
    <t>불법 제공물 가용성 제시이 불법 제공물 노출 달성에 사용됨</t>
  </si>
  <si>
    <t>XR-C-MT0018</t>
  </si>
  <si>
    <t>불법 제공물 가용성 제시이 불법 수요자 확보 달성에 사용됨</t>
  </si>
  <si>
    <t>XR-C-MT0019</t>
  </si>
  <si>
    <t>불법 제공물 미리보기이 불법 제공물 노출 달성에 사용됨</t>
  </si>
  <si>
    <t>XR-C-MT0020</t>
  </si>
  <si>
    <t>불법 제공물 미리보기이 불법 수요자 확보 달성에 사용됨</t>
  </si>
  <si>
    <t>XR-C-MT0021</t>
  </si>
  <si>
    <t>불법 제공물 미리보기이 불법 제작 의뢰 확보 달성에 사용됨</t>
  </si>
  <si>
    <t>XR-C-MT0022</t>
  </si>
  <si>
    <t>가격·혜택 강조이 불법 제공물 노출 달성에 사용됨</t>
  </si>
  <si>
    <t>XR-C-MT0023</t>
  </si>
  <si>
    <t>가격·혜택 강조이 불법 수요자 확보 달성에 사용됨</t>
  </si>
  <si>
    <t>XR-C-MT0024</t>
  </si>
  <si>
    <t>가격·혜택 강조이 불법 대가 획득 달성에 사용됨</t>
  </si>
  <si>
    <t>XR-C-MT0025</t>
  </si>
  <si>
    <t>희소성·긴급성 강조이 불법 수요자 확보 달성에 사용됨</t>
  </si>
  <si>
    <t>XR-C-MT0026</t>
  </si>
  <si>
    <t>희소성·긴급성 강조이 불법 대가 획득 달성에 사용됨</t>
  </si>
  <si>
    <t>XR-C-MT0027</t>
  </si>
  <si>
    <t>정상 업무·거래 위장이 범죄 신뢰 조작 달성에 사용됨</t>
  </si>
  <si>
    <t>XR-C-MT0028</t>
  </si>
  <si>
    <t>정상 업무·거래 위장이 범죄 가담자 확보 달성에 사용됨</t>
  </si>
  <si>
    <t>XR-C-MT0029</t>
  </si>
  <si>
    <t>정상 업무·거래 위장이 탐지 회피 달성에 사용됨</t>
  </si>
  <si>
    <t>XR-C-MT0030</t>
  </si>
  <si>
    <t>중개자 역할 제시이 범죄 신뢰 조작 달성에 사용됨</t>
  </si>
  <si>
    <t>XR-C-MT0031</t>
  </si>
  <si>
    <t>중개자 역할 제시이 불법 수요자 확보 달성에 사용됨</t>
  </si>
  <si>
    <t>XR-C-MT0032</t>
  </si>
  <si>
    <t>중개자 역할 제시이 외부 접촉 전환 달성에 사용됨</t>
  </si>
  <si>
    <t>XR-C-MT0033</t>
  </si>
  <si>
    <t>공고형 모집이 불법 수요자 확보 달성에 사용됨</t>
  </si>
  <si>
    <t>XR-C-MT0034</t>
  </si>
  <si>
    <t>공고형 모집이 범죄 가담자 확보 달성에 사용됨</t>
  </si>
  <si>
    <t>XR-C-MT0035</t>
  </si>
  <si>
    <t>설명형 외부 경로 유도이 외부 접촉 전환 달성에 사용됨</t>
  </si>
  <si>
    <t>XR-C-MT0036</t>
  </si>
  <si>
    <t>미리보기 기반 외부 경로 유도이 불법 제공물 노출 달성에 사용됨</t>
  </si>
  <si>
    <t>XR-C-MT0037</t>
  </si>
  <si>
    <t>미리보기 기반 외부 경로 유도이 외부 접촉 전환 달성에 사용됨</t>
  </si>
  <si>
    <t>XR-C-MT0038</t>
  </si>
  <si>
    <t>외부 연락 식별자 제시이 외부 접촉 전환 달성에 사용됨</t>
  </si>
  <si>
    <t>XR-C-MT0039</t>
  </si>
  <si>
    <t>비공개 접촉 전환이 외부 접촉 전환 달성에 사용됨</t>
  </si>
  <si>
    <t>XR-C-MT0040</t>
  </si>
  <si>
    <t>단계적 자금 요구이 불법 대가 획득 달성에 사용됨</t>
  </si>
  <si>
    <t>XR-C-MT0041</t>
  </si>
  <si>
    <t>명목형 자금 요구이 불법 대가 획득 달성에 사용됨</t>
  </si>
  <si>
    <t>XR-C-MT0042</t>
  </si>
  <si>
    <t>정보 입력 유도이 개인정보·인증정보 확보 달성에 사용됨</t>
  </si>
  <si>
    <t>XR-C-MT0043</t>
  </si>
  <si>
    <t>인증 절차 위장이 범죄 신뢰 조작 달성에 사용됨</t>
  </si>
  <si>
    <t>XR-C-MT0044</t>
  </si>
  <si>
    <t>인증 절차 위장이 개인정보·인증정보 확보 달성에 사용됨</t>
  </si>
  <si>
    <t>XR-C-MT0045</t>
  </si>
  <si>
    <t>불법 제작 능력 암시이 불법 제공물 노출 달성에 사용됨</t>
  </si>
  <si>
    <t>XR-C-MT0046</t>
  </si>
  <si>
    <t>불법 제작 능력 암시이 불법 제작 의뢰 확보 달성에 사용됨</t>
  </si>
  <si>
    <t>XR-C-MT0047</t>
  </si>
  <si>
    <t>선택형 제작 의뢰 항목이 불법 제작 의뢰 확보 달성에 사용됨</t>
  </si>
  <si>
    <t>XR-C-MT0048</t>
  </si>
  <si>
    <t>합성 범죄자산 생성이 불법 콘텐츠 제작 달성에 사용됨</t>
  </si>
  <si>
    <t>XR-C-MT0049</t>
  </si>
  <si>
    <t>다중 식별 단서 노출이 피해자 특정 달성에 사용됨</t>
  </si>
  <si>
    <t>XR-C-MT0050</t>
  </si>
  <si>
    <t>다중 식별 단서 노출이 피해자 정보 노출 달성에 사용됨</t>
  </si>
  <si>
    <t>XR-C-MT0051</t>
  </si>
  <si>
    <t>피해자 정보-콘텐츠 결합이 피해자 정보 노출 달성에 사용됨</t>
  </si>
  <si>
    <t>XR-C-MT0052</t>
  </si>
  <si>
    <t>주기적 상태 갱신이 불법 제공물 노출 달성에 사용됨</t>
  </si>
  <si>
    <t>XR-C-MT0053</t>
  </si>
  <si>
    <t>주기적 상태 갱신이 범죄 활동 지속 달성에 사용됨</t>
  </si>
  <si>
    <t>XR-C-MT0054</t>
  </si>
  <si>
    <t>재유통·증폭이 범죄 콘텐츠 확산 달성에 사용됨</t>
  </si>
  <si>
    <t>XR-C-MT0055</t>
  </si>
  <si>
    <t>재유통·증폭이 범죄 활동 지속 달성에 사용됨</t>
  </si>
  <si>
    <t>XR-C-MT0056</t>
  </si>
  <si>
    <t>표현 변형·은어화이 탐지 회피 달성에 사용됨</t>
  </si>
  <si>
    <t>XR-C-MT0057</t>
  </si>
  <si>
    <t>미디어 내 텍스트 전달이 불법 제공물 노출 달성에 사용됨</t>
  </si>
  <si>
    <t>XR-C-MT0058</t>
  </si>
  <si>
    <t>미디어 내 텍스트 전달이 탐지 회피 달성에 사용됨</t>
  </si>
  <si>
    <t>XR-C-MT0059</t>
  </si>
  <si>
    <t>삭제·변형·재발행이 범죄 활동 지속 달성에 사용됨</t>
  </si>
  <si>
    <t>XR-C-MT0060</t>
  </si>
  <si>
    <t>삭제·변형·재발행이 탐지 회피 달성에 사용됨</t>
  </si>
  <si>
    <t>XR-C-MT0061</t>
  </si>
  <si>
    <t>삭제·변형·재발행이 제재 회피 달성에 사용됨</t>
  </si>
  <si>
    <t>XR-C-MT0062</t>
  </si>
  <si>
    <t>대체 계정 이전이 범죄 활동 지속 달성에 사용됨</t>
  </si>
  <si>
    <t>XR-C-MT0063</t>
  </si>
  <si>
    <t>대체 계정 이전이 제재 회피 달성에 사용됨</t>
  </si>
  <si>
    <t>XR-C-MT0064</t>
  </si>
  <si>
    <t>다계정 분산·증폭이 범죄 콘텐츠 확산 달성에 사용됨</t>
  </si>
  <si>
    <t>XR-C-MT0065</t>
  </si>
  <si>
    <t>다계정 분산·증폭이 범죄 활동 지속 달성에 사용됨</t>
  </si>
  <si>
    <t>XR-C-MT0066</t>
  </si>
  <si>
    <t>다계정 분산·증폭이 제재 회피 달성에 사용됨</t>
  </si>
  <si>
    <t>XR-C-MT0067</t>
  </si>
  <si>
    <t>계정 공개범위 전환이 범죄 활동 지속 달성에 사용됨</t>
  </si>
  <si>
    <t>XR-C-MT0068</t>
  </si>
  <si>
    <t>계정 공개범위 전환이 제재 회피 달성에 사용됨</t>
  </si>
  <si>
    <t>XR-C-MT0069</t>
  </si>
  <si>
    <t>공식·타인 사칭이 범죄 신뢰 조작 달성에 사용됨</t>
  </si>
  <si>
    <t>XR-C-MT0070</t>
  </si>
  <si>
    <t>공식·타인 사칭이 불법 수요자 확보 달성에 사용됨</t>
  </si>
  <si>
    <t>XR-C-MT0071</t>
  </si>
  <si>
    <t>공식·타인 사칭이 개인정보·인증정보 확보 달성에 사용됨</t>
  </si>
  <si>
    <t>XR-C-MT0072</t>
  </si>
  <si>
    <t>반응 신호 평가이 범죄 대상 탐색 달성에 사용됨</t>
  </si>
  <si>
    <t>XR-C-MT0073</t>
  </si>
  <si>
    <t>반응 신호 평가이 범죄 활동 지속 달성에 사용됨</t>
  </si>
  <si>
    <t>범죄자 Technique–Procedure 매핑</t>
  </si>
  <si>
    <t>order_hint</t>
  </si>
  <si>
    <t>실행역할</t>
  </si>
  <si>
    <t>core</t>
  </si>
  <si>
    <t>범죄 분야·행위형에 맞는 합성 콘텐츠 의도 템플릿 선택</t>
  </si>
  <si>
    <t>XR-C-MP0002</t>
  </si>
  <si>
    <t>7일 콘텐츠 혼합 계획 설정</t>
  </si>
  <si>
    <t>XR-C-MP0003</t>
  </si>
  <si>
    <t>합성 전문성 주장 삽입</t>
  </si>
  <si>
    <t>XR-C-MP0004</t>
  </si>
  <si>
    <t>XR-C-MP0005</t>
  </si>
  <si>
    <t>범죄 문의·반응 문구 삽입</t>
  </si>
  <si>
    <t>XR-C-MP0006</t>
  </si>
  <si>
    <t>optional</t>
  </si>
  <si>
    <t>발행 후 반응 신호 점수화</t>
  </si>
  <si>
    <t>XR-C-MP0007</t>
  </si>
  <si>
    <t>관심 표식 후보 삽입</t>
  </si>
  <si>
    <t>XR-C-MP0008</t>
  </si>
  <si>
    <t>XR-C-MP0009</t>
  </si>
  <si>
    <t>합성 증빙 자산 참조 설정</t>
  </si>
  <si>
    <t>XR-C-MP0010</t>
  </si>
  <si>
    <t>가상 인물 후기 삽입</t>
  </si>
  <si>
    <t>XR-C-MP0011</t>
  </si>
  <si>
    <t>감정적 합성 사연 삽입</t>
  </si>
  <si>
    <t>XR-C-MP0012</t>
  </si>
  <si>
    <t>가상 가용 상태 주장 삽입</t>
  </si>
  <si>
    <t>XR-C-MP0013</t>
  </si>
  <si>
    <t>XR-C-MP0014</t>
  </si>
  <si>
    <t>가상 가격·혜택 주장 삽입</t>
  </si>
  <si>
    <t>XR-C-MP0015</t>
  </si>
  <si>
    <t>희소성·긴급성 합성 주장 삽입</t>
  </si>
  <si>
    <t>XR-C-MP0016</t>
  </si>
  <si>
    <t>정상 활동 표현 틀 적용</t>
  </si>
  <si>
    <t>XR-C-MP0017</t>
  </si>
  <si>
    <t>가상 중개자 역할 주장 삽입</t>
  </si>
  <si>
    <t>XR-C-MP0018</t>
  </si>
  <si>
    <t>XR-C-MP0019</t>
  </si>
  <si>
    <t>XR-C-MP0020</t>
  </si>
  <si>
    <t>샌드박스 경로 선택</t>
  </si>
  <si>
    <t>XR-C-MP0021</t>
  </si>
  <si>
    <t>미리보기 범위 설정</t>
  </si>
  <si>
    <t>XR-C-MP0022</t>
  </si>
  <si>
    <t>XR-C-MP0023</t>
  </si>
  <si>
    <t>XR-C-MP0024</t>
  </si>
  <si>
    <t>가상 외부 연락 식별자 삽입</t>
  </si>
  <si>
    <t>XR-C-MP0025</t>
  </si>
  <si>
    <t>XR-C-MP0026</t>
  </si>
  <si>
    <t>첫 자금 요구 명목 삽입</t>
  </si>
  <si>
    <t>XR-C-MP0027</t>
  </si>
  <si>
    <t>후속 자금 요구 사건 추가</t>
  </si>
  <si>
    <t>XR-C-MP0028</t>
  </si>
  <si>
    <t>가상 자금 요구 명목 삽입</t>
  </si>
  <si>
    <t>XR-C-MP0029</t>
  </si>
  <si>
    <t>합성 정보 제출 요청 삽입</t>
  </si>
  <si>
    <t>XR-C-MP0030</t>
  </si>
  <si>
    <t>샌드박스 양식 경로 선택</t>
  </si>
  <si>
    <t>XR-C-MP0031</t>
  </si>
  <si>
    <t>가상 인증 명목 삽입</t>
  </si>
  <si>
    <t>XR-C-MP0032</t>
  </si>
  <si>
    <t>합성 정보 제출 요청 추가</t>
  </si>
  <si>
    <t>XR-C-MP0033</t>
  </si>
  <si>
    <t>합성 제작 가능 주장 삽입</t>
  </si>
  <si>
    <t>XR-C-MP0034</t>
  </si>
  <si>
    <t>합성 제작 옵션 삽입</t>
  </si>
  <si>
    <t>XR-C-MP0035</t>
  </si>
  <si>
    <t>XR-C-MP0036</t>
  </si>
  <si>
    <t>XR-C-MP0037</t>
  </si>
  <si>
    <t>가상 피해자와 합성 자산 결합</t>
  </si>
  <si>
    <t>XR-C-MP0038</t>
  </si>
  <si>
    <t>가상 상태 갱신 사건 예약</t>
  </si>
  <si>
    <t>XR-C-MP0039</t>
  </si>
  <si>
    <t>기존 초안 변형본 생성</t>
  </si>
  <si>
    <t>XR-C-MP0040</t>
  </si>
  <si>
    <t>XR-C-MP0041</t>
  </si>
  <si>
    <t>XR-C-MP0042</t>
  </si>
  <si>
    <t>XR-C-MP0043</t>
  </si>
  <si>
    <t>합성 어휘 변형 적용</t>
  </si>
  <si>
    <t>XR-C-MP0044</t>
  </si>
  <si>
    <t>합성 텍스트를 미디어에 렌더링</t>
  </si>
  <si>
    <t>XR-C-MP0045</t>
  </si>
  <si>
    <t>XR-C-MP0046</t>
  </si>
  <si>
    <t>XR-C-MP0047</t>
  </si>
  <si>
    <t>XR-C-MP0048</t>
  </si>
  <si>
    <t>XR-C-MP0049</t>
  </si>
  <si>
    <t>교차계정 실행사건 예약</t>
  </si>
  <si>
    <t>XR-C-MP0050</t>
  </si>
  <si>
    <t>가상 계정 공개범위 상태변경</t>
  </si>
  <si>
    <t>XR-C-MP0051</t>
  </si>
  <si>
    <t>정상·공식 활동 표현 틀 적용</t>
  </si>
  <si>
    <t>XR-C-MP0052</t>
  </si>
  <si>
    <t>가상 전문성 주장 추가</t>
  </si>
  <si>
    <t>XR-C-MP0053</t>
  </si>
  <si>
    <t>가상 반응 신호 점수화</t>
  </si>
  <si>
    <t>범죄자 Technique의 플랫폼 공통 TTP 의존 관계</t>
  </si>
  <si>
    <t>dependency_id</t>
  </si>
  <si>
    <t>criminal_technique_id</t>
  </si>
  <si>
    <t>dependency_type</t>
  </si>
  <si>
    <t>alternative_group</t>
  </si>
  <si>
    <t>platform_id</t>
  </si>
  <si>
    <t>platform_type</t>
  </si>
  <si>
    <t>선택규칙</t>
  </si>
  <si>
    <t>의존설명</t>
  </si>
  <si>
    <t>dependency_key</t>
  </si>
  <si>
    <t>required</t>
  </si>
  <si>
    <t>PlatformProcedure</t>
  </si>
  <si>
    <t>Technique 실행에 필수</t>
  </si>
  <si>
    <t>XR-C-DP0002</t>
  </si>
  <si>
    <t>XR-P-CI0001</t>
  </si>
  <si>
    <t>PlatformContentIntent</t>
  </si>
  <si>
    <t>프로필·확률·콘텐츠 형식에 따라 추가</t>
  </si>
  <si>
    <t>XR-C-DP0003</t>
  </si>
  <si>
    <t>XR-P-CI0002</t>
  </si>
  <si>
    <t>XR-C-DP0004</t>
  </si>
  <si>
    <t>XR-P-SP0003</t>
  </si>
  <si>
    <t>PlatformSchedulePolicy</t>
  </si>
  <si>
    <t>XR-C-DP0005</t>
  </si>
  <si>
    <t>XR-P-TE0001</t>
  </si>
  <si>
    <t>PlatformTechnique</t>
  </si>
  <si>
    <t>XR-C-DP0006</t>
  </si>
  <si>
    <t>XR-P-PR0006</t>
  </si>
  <si>
    <t>XR-C-DP0007</t>
  </si>
  <si>
    <t>XR-C-DP0008</t>
  </si>
  <si>
    <t>XR-P-TE0002</t>
  </si>
  <si>
    <t>XR-C-DP0009</t>
  </si>
  <si>
    <t>XR-P-PR0007</t>
  </si>
  <si>
    <t>XR-C-DP0010</t>
  </si>
  <si>
    <t>XR-P-TE0013</t>
  </si>
  <si>
    <t>XR-C-DP0011</t>
  </si>
  <si>
    <t>XR-C-DP0012</t>
  </si>
  <si>
    <t>XR-P-PR0018</t>
  </si>
  <si>
    <t>XR-C-DP0013</t>
  </si>
  <si>
    <t>XR-C-DP0014</t>
  </si>
  <si>
    <t>XR-P-TE0011</t>
  </si>
  <si>
    <t>XR-C-DP0015</t>
  </si>
  <si>
    <t>XR-P-PR0002</t>
  </si>
  <si>
    <t>XR-C-DP0016</t>
  </si>
  <si>
    <t>XR-U-AP0002</t>
  </si>
  <si>
    <t>UserAudiencePolicy</t>
  </si>
  <si>
    <t>XR-C-DP0017</t>
  </si>
  <si>
    <t>XR-P-TE0022</t>
  </si>
  <si>
    <t>XR-C-DP0018</t>
  </si>
  <si>
    <t>XR-P-PR0010</t>
  </si>
  <si>
    <t>XR-C-DP0019</t>
  </si>
  <si>
    <t>XR-C-DP0020</t>
  </si>
  <si>
    <t>XR-P-TE0014</t>
  </si>
  <si>
    <t>XR-C-DP0021</t>
  </si>
  <si>
    <t>XR-C-DP0022</t>
  </si>
  <si>
    <t>XR-C-DP0023</t>
  </si>
  <si>
    <t>XR-C-DP0024</t>
  </si>
  <si>
    <t>XR-C-DP0025</t>
  </si>
  <si>
    <t>XR-C-DP0026</t>
  </si>
  <si>
    <t>XR-P-PR0008</t>
  </si>
  <si>
    <t>XR-C-DP0027</t>
  </si>
  <si>
    <t>XR-C-DP0028</t>
  </si>
  <si>
    <t>XR-C-DP0029</t>
  </si>
  <si>
    <t>XR-C-DP0030</t>
  </si>
  <si>
    <t>XR-C-DP0031</t>
  </si>
  <si>
    <t>XR-C-DP0032</t>
  </si>
  <si>
    <t>XR-C-DP0033</t>
  </si>
  <si>
    <t>XR-C-DP0034</t>
  </si>
  <si>
    <t>XR-C-DP0035</t>
  </si>
  <si>
    <t>XR-C-DP0036</t>
  </si>
  <si>
    <t>XR-P-TE0008</t>
  </si>
  <si>
    <t>XR-C-DP0037</t>
  </si>
  <si>
    <t>XR-P-TE0028</t>
  </si>
  <si>
    <t>XR-C-DP0038</t>
  </si>
  <si>
    <t>XR-C-DP0039</t>
  </si>
  <si>
    <t>XR-C-DP0040</t>
  </si>
  <si>
    <t>XR-P-TE0024</t>
  </si>
  <si>
    <t>XR-C-DP0041</t>
  </si>
  <si>
    <t>XR-C-DP0042</t>
  </si>
  <si>
    <t>XR-C-DP0043</t>
  </si>
  <si>
    <t>alternative</t>
  </si>
  <si>
    <t>동일 그룹에서 실행 경로에 맞는 한 개 이상 선택</t>
  </si>
  <si>
    <t>XR-C-DP0044</t>
  </si>
  <si>
    <t>XR-P-TE0003</t>
  </si>
  <si>
    <t>XR-C-DP0045</t>
  </si>
  <si>
    <t>XR-C-DP0046</t>
  </si>
  <si>
    <t>XR-C-DP0047</t>
  </si>
  <si>
    <t>XR-C-DP0048</t>
  </si>
  <si>
    <t>XR-C-DP0049</t>
  </si>
  <si>
    <t>XR-C-DP0050</t>
  </si>
  <si>
    <t>XR-C-DP0051</t>
  </si>
  <si>
    <t>XR-C-DP0052</t>
  </si>
  <si>
    <t>XR-C-DP0053</t>
  </si>
  <si>
    <t>XR-C-DP0054</t>
  </si>
  <si>
    <t>XR-C-DP0055</t>
  </si>
  <si>
    <t>XR-C-DP0056</t>
  </si>
  <si>
    <t>XR-C-DP0057</t>
  </si>
  <si>
    <t>XR-C-DP0058</t>
  </si>
  <si>
    <t>XR-P-TE0026</t>
  </si>
  <si>
    <t>XR-C-DP0059</t>
  </si>
  <si>
    <t>XR-C-DP0060</t>
  </si>
  <si>
    <t>XR-C-DP0061</t>
  </si>
  <si>
    <t>XR-C-DP0062</t>
  </si>
  <si>
    <t>XR-C-DP0063</t>
  </si>
  <si>
    <t>XR-C-DP0064</t>
  </si>
  <si>
    <t>XR-C-DP0065</t>
  </si>
  <si>
    <t>XR-C-DP0066</t>
  </si>
  <si>
    <t>XR-C-DP0067</t>
  </si>
  <si>
    <t>XR-C-DP0068</t>
  </si>
  <si>
    <t>XR-C-DP0069</t>
  </si>
  <si>
    <t>XR-P-TE0023</t>
  </si>
  <si>
    <t>XR-C-DP0070</t>
  </si>
  <si>
    <t>XR-P-PR0009</t>
  </si>
  <si>
    <t>XR-C-DP0071</t>
  </si>
  <si>
    <t>XR-C-DP0072</t>
  </si>
  <si>
    <t>XR-C-DP0073</t>
  </si>
  <si>
    <t>XR-P-TE0004</t>
  </si>
  <si>
    <t>XR-C-DP0074</t>
  </si>
  <si>
    <t>XR-C-DP0075</t>
  </si>
  <si>
    <t>XR-C-DP0076</t>
  </si>
  <si>
    <t>XR-C-DP0077</t>
  </si>
  <si>
    <t>XR-C-DP0078</t>
  </si>
  <si>
    <t>XR-C-DP0079</t>
  </si>
  <si>
    <t>XR-C-DP0080</t>
  </si>
  <si>
    <t>XR-C-DP0081</t>
  </si>
  <si>
    <t>XR-C-DP0082</t>
  </si>
  <si>
    <t>XR-C-DP0083</t>
  </si>
  <si>
    <t>XR-C-DP0084</t>
  </si>
  <si>
    <t>XR-C-DP0085</t>
  </si>
  <si>
    <t>XR-P-TE0012</t>
  </si>
  <si>
    <t>XR-C-DP0086</t>
  </si>
  <si>
    <t>XR-P-PR0011</t>
  </si>
  <si>
    <t>XR-C-DP0087</t>
  </si>
  <si>
    <t>XR-C-DP0088</t>
  </si>
  <si>
    <t>XR-C-DP0089</t>
  </si>
  <si>
    <t>XR-C-DP0090</t>
  </si>
  <si>
    <t>XR-C-DP0091</t>
  </si>
  <si>
    <t>XR-C-DP0092</t>
  </si>
  <si>
    <t>XR-C-DP0093</t>
  </si>
  <si>
    <t>XR-C-DP0094</t>
  </si>
  <si>
    <t>XR-C-DP0095</t>
  </si>
  <si>
    <t>XR-C-DP0096</t>
  </si>
  <si>
    <t>XR-C-DP0097</t>
  </si>
  <si>
    <t>XR-C-DP0098</t>
  </si>
  <si>
    <t>XR-C-DP0099</t>
  </si>
  <si>
    <t>XR-C-DP0100</t>
  </si>
  <si>
    <t>XR-C-DP0101</t>
  </si>
  <si>
    <t>XR-C-DP0102</t>
  </si>
  <si>
    <t>XR-C-DP0103</t>
  </si>
  <si>
    <t>XR-C-DP0104</t>
  </si>
  <si>
    <t>XR-C-DP0105</t>
  </si>
  <si>
    <t>XR-C-DP0106</t>
  </si>
  <si>
    <t>XR-C-DP0107</t>
  </si>
  <si>
    <t>XR-C-DP0108</t>
  </si>
  <si>
    <t>XR-C-DP0109</t>
  </si>
  <si>
    <t>XR-C-DP0110</t>
  </si>
  <si>
    <t>XR-C-DP0111</t>
  </si>
  <si>
    <t>XR-C-DP0112</t>
  </si>
  <si>
    <t>XR-C-DP0113</t>
  </si>
  <si>
    <t>XR-C-DP0114</t>
  </si>
  <si>
    <t>XR-C-DP0115</t>
  </si>
  <si>
    <t>XR-C-DP0116</t>
  </si>
  <si>
    <t>XR-C-DP0117</t>
  </si>
  <si>
    <t>XR-P-TE0025</t>
  </si>
  <si>
    <t>XR-C-DP0118</t>
  </si>
  <si>
    <t>XR-C-DP0119</t>
  </si>
  <si>
    <t>XR-C-DP0120</t>
  </si>
  <si>
    <t>XR-C-DP0121</t>
  </si>
  <si>
    <t>XR-C-DP0122</t>
  </si>
  <si>
    <t>XR-C-DP0123</t>
  </si>
  <si>
    <t>XR-C-DP0124</t>
  </si>
  <si>
    <t>XR-C-DP0125</t>
  </si>
  <si>
    <t>XR-C-DP0126</t>
  </si>
  <si>
    <t>XR-C-DP0127</t>
  </si>
  <si>
    <t>XR-C-DP0128</t>
  </si>
  <si>
    <t>XR-C-DP0129</t>
  </si>
  <si>
    <t>XR-C-DP0130</t>
  </si>
  <si>
    <t>XR-C-DP0131</t>
  </si>
  <si>
    <t>XR-C-DP0132</t>
  </si>
  <si>
    <t>XR-C-DP0133</t>
  </si>
  <si>
    <t>XR-C-DP0134</t>
  </si>
  <si>
    <t>XR-C-DP0135</t>
  </si>
  <si>
    <t>XR-C-DP0136</t>
  </si>
  <si>
    <t>XR-C-DP0137</t>
  </si>
  <si>
    <t>XR-P-PR0013</t>
  </si>
  <si>
    <t>XR-C-DP0138</t>
  </si>
  <si>
    <t>XR-C-DP0139</t>
  </si>
  <si>
    <t>XR-C-DP0140</t>
  </si>
  <si>
    <t>XR-P-TE0027</t>
  </si>
  <si>
    <t>XR-C-DP0141</t>
  </si>
  <si>
    <t>XR-C-DP0142</t>
  </si>
  <si>
    <t>XR-P-TE0020</t>
  </si>
  <si>
    <t>XR-C-DP0143</t>
  </si>
  <si>
    <t>XR-P-TE0015</t>
  </si>
  <si>
    <t>XR-C-DP0144</t>
  </si>
  <si>
    <t>XR-P-TE0021</t>
  </si>
  <si>
    <t>XR-C-DP0145</t>
  </si>
  <si>
    <t>XR-P-PR0004</t>
  </si>
  <si>
    <t>XR-C-DP0146</t>
  </si>
  <si>
    <t>XR-P-PR0003</t>
  </si>
  <si>
    <t>XR-C-DP0147</t>
  </si>
  <si>
    <t>XR-C-DP0148</t>
  </si>
  <si>
    <t>XR-C-DP0149</t>
  </si>
  <si>
    <t>XR-C-DP0150</t>
  </si>
  <si>
    <t>XR-C-DP0151</t>
  </si>
  <si>
    <t>XR-C-DP0152</t>
  </si>
  <si>
    <t>XR-C-DP0153</t>
  </si>
  <si>
    <t>XR-C-DP0154</t>
  </si>
  <si>
    <t>XR-C-DP0155</t>
  </si>
  <si>
    <t>XR-C-DP0156</t>
  </si>
  <si>
    <t>XR-C-DP0157</t>
  </si>
  <si>
    <t>XR-C-DP0158</t>
  </si>
  <si>
    <t>XR-C-DP0159</t>
  </si>
  <si>
    <t>XR-C-DP0160</t>
  </si>
  <si>
    <t>XR-P-TE0029</t>
  </si>
  <si>
    <t>XR-C-DP0161</t>
  </si>
  <si>
    <t>XR-P-SP0005</t>
  </si>
  <si>
    <t>XR-C-DP0162</t>
  </si>
  <si>
    <t>XR-P-PR0015</t>
  </si>
  <si>
    <t>XR-C-DP0163</t>
  </si>
  <si>
    <t>XR-P-PR0016</t>
  </si>
  <si>
    <t>XR-C-DP0164</t>
  </si>
  <si>
    <t>XR-P-PR0017</t>
  </si>
  <si>
    <t>XR-C-DP0165</t>
  </si>
  <si>
    <t>XR-C-DP0166</t>
  </si>
  <si>
    <t>XR-C-DP0167</t>
  </si>
  <si>
    <t>XR-C-DP0168</t>
  </si>
  <si>
    <t>XR-C-DP0169</t>
  </si>
  <si>
    <t>XR-C-DP0170</t>
  </si>
  <si>
    <t>XR-P-SP0002</t>
  </si>
  <si>
    <t>XR-C-DP0171</t>
  </si>
  <si>
    <t>XR-C-DP0172</t>
  </si>
  <si>
    <t>XR-C-DP0173</t>
  </si>
  <si>
    <t>XR-C-DP0174</t>
  </si>
  <si>
    <t>XR-C-DP0175</t>
  </si>
  <si>
    <t>XR-C-DP0176</t>
  </si>
  <si>
    <t>XR-C-DP0177</t>
  </si>
  <si>
    <t>XR-C-DP0178</t>
  </si>
  <si>
    <t>XR-C-DP0179</t>
  </si>
  <si>
    <t>XR-C-DP0180</t>
  </si>
  <si>
    <t>XR-C-DP0181</t>
  </si>
  <si>
    <t>XR-C-DP0182</t>
  </si>
  <si>
    <t>XR-C-DP0183</t>
  </si>
  <si>
    <t>XR-C-DP0184</t>
  </si>
  <si>
    <t>XR-C-DP0185</t>
  </si>
  <si>
    <t>XR-C-DP0186</t>
  </si>
  <si>
    <t>XR-U-AP0003</t>
  </si>
  <si>
    <t>XR-C-DP0187</t>
  </si>
  <si>
    <t>tactic_ids</t>
  </si>
  <si>
    <t>피해자 특정·노출형</t>
  </si>
  <si>
    <t>제작형</t>
  </si>
  <si>
    <t>9개 공통 행위형별 범죄자 TTP 프리셋</t>
  </si>
  <si>
    <t>behavior_pattern_id</t>
  </si>
  <si>
    <t>권장tactic_ids</t>
  </si>
  <si>
    <t>권장criminal_technique_ids</t>
  </si>
  <si>
    <t>주요환경설정키</t>
  </si>
  <si>
    <t>분야확장규칙</t>
  </si>
  <si>
    <t>SALE</t>
  </si>
  <si>
    <t>판매·거래형</t>
  </si>
  <si>
    <t>불법 제공물의 가용성·가격·접촉경로를 제시하여 수요와 대가 이전을 유도</t>
  </si>
  <si>
    <t>XR-C-TA0003; XR-C-TA0004; XR-C-TA0006; XR-C-TA0007; XR-C-TA0014; XR-C-TA0015</t>
  </si>
  <si>
    <t>XR-C-TE0008; XR-C-TE0009; XR-C-TE0010; XR-C-TE0011; XR-C-TE0015; XR-C-TE0017; XR-C-TE0018; XR-C-TE0020; XR-C-TE0028; XR-C-TE0030</t>
  </si>
  <si>
    <t>criminal_ratio, price_band, offplatform_probability, evasion_strength</t>
  </si>
  <si>
    <t>판매 분야에 따라 offer_type·price_band·route_type을 특화</t>
  </si>
  <si>
    <t>XR-C-BP0002</t>
  </si>
  <si>
    <t>DISTRIBUTE</t>
  </si>
  <si>
    <t>유포·재유포형</t>
  </si>
  <si>
    <t>동일하거나 변형된 범죄 관련 합성 콘텐츠를 반복 유통·증폭</t>
  </si>
  <si>
    <t>XR-C-TA0003; XR-C-TA0013; XR-C-TA0014; XR-C-TA0015; XR-C-TA0016</t>
  </si>
  <si>
    <t>XR-C-TE0029; XR-C-TE0030; XR-C-TE0031; XR-C-TE0032; XR-C-TE0034</t>
  </si>
  <si>
    <t>action_mix, account_limit, mutation_strength, repost_interval</t>
  </si>
  <si>
    <t>콘텐츠 분야가 바뀌어도 확산·회피 패턴은 재사용</t>
  </si>
  <si>
    <t>XR-C-BP0003</t>
  </si>
  <si>
    <t>RECRUIT</t>
  </si>
  <si>
    <t>모집형</t>
  </si>
  <si>
    <t>수요자 또는 범죄 가담자의 역할·조건·보상을 제시하고 접촉을 확보</t>
  </si>
  <si>
    <t>XR-C-TA0004; XR-C-TA0005; XR-C-TA0006; XR-C-TA0014; XR-C-TA0015</t>
  </si>
  <si>
    <t>XR-C-TE0003; XR-C-TE0012; XR-C-TE0014; XR-C-TE0015; XR-C-TE0017; XR-C-TE0018; XR-C-TE0028; XR-C-TE0030</t>
  </si>
  <si>
    <t>role_type, eligibility, reward_band, signal_threshold</t>
  </si>
  <si>
    <t>수요자 모집과 공범 모집은 Tactic ID로 구분</t>
  </si>
  <si>
    <t>XR-C-BP0004</t>
  </si>
  <si>
    <t>BROKER</t>
  </si>
  <si>
    <t>중개·알선형</t>
  </si>
  <si>
    <t>판매자·구매자·의뢰자·제작자를 연결하는 역할을 제시하고 외부 접촉과 대가 이전을 연결</t>
  </si>
  <si>
    <t>XR-C-TA0002; XR-C-TA0004; XR-C-TA0006; XR-C-TA0007; XR-C-TA0014</t>
  </si>
  <si>
    <t>XR-C-TE0013; XR-C-TE0015; XR-C-TE0017; XR-C-TE0018; XR-C-TE0020; XR-C-TE0028; XR-C-TE0030</t>
  </si>
  <si>
    <t>intermediary_role, route_type, pretext_type, update_interval</t>
  </si>
  <si>
    <t>분야 특화 변수로 중개 대상과 역할만 변경</t>
  </si>
  <si>
    <t>XR-C-BP0005</t>
  </si>
  <si>
    <t>DECEIVE</t>
  </si>
  <si>
    <t>기망형</t>
  </si>
  <si>
    <t>허위 정체성·성과·후기·사연을 사용해 신뢰를 조작하고 정보·자금·행동을 유도</t>
  </si>
  <si>
    <t>XR-C-TA0001; XR-C-TA0002; XR-C-TA0004; XR-C-TA0006; XR-C-TA0007; XR-C-TA0008; XR-C-TA0015</t>
  </si>
  <si>
    <t>XR-C-TE0002; XR-C-TE0005; XR-C-TE0006; XR-C-TE0007; XR-C-TE0011; XR-C-TE0018; XR-C-TE0019; XR-C-TE0020; XR-C-TE0021; XR-C-TE0022; XR-C-TE0030; XR-C-TE0036; XR-C-TE0037</t>
  </si>
  <si>
    <t>claim_strength, impersonation_role, payment_stage_count, requested_field_types</t>
  </si>
  <si>
    <t>사칭·피싱·투자기망 등은 범죄 분야와 변수로 확장</t>
  </si>
  <si>
    <t>XR-C-BP0006</t>
  </si>
  <si>
    <t>PROMOTE</t>
  </si>
  <si>
    <t>홍보·유입형</t>
  </si>
  <si>
    <t>범죄 관련 제공물·채널의 노출과 반응을 확대하고 다음 접촉 단계로 유입</t>
  </si>
  <si>
    <t>XR-C-TA0001; XR-C-TA0003; XR-C-TA0004; XR-C-TA0013; XR-C-TA0014; XR-C-TA0015</t>
  </si>
  <si>
    <t>XR-C-TE0003; XR-C-TE0004; XR-C-TE0008; XR-C-TE0009; XR-C-TE0010; XR-C-TE0011; XR-C-TE0028; XR-C-TE0029; XR-C-TE0030; XR-C-TE0031; XR-C-TE0034; XR-C-TE0037</t>
  </si>
  <si>
    <t>marker_set_id, preview_ratio, amplification_weight, signal_threshold</t>
  </si>
  <si>
    <t>판매 여부 없이 채널·제공물 노출만 수행할 수 있음</t>
  </si>
  <si>
    <t>XR-C-BP0007</t>
  </si>
  <si>
    <t>PRODUCE</t>
  </si>
  <si>
    <t>불법 제작 가능성과 선택 항목을 제시하고 의뢰를 받은 뒤 합성 자리표시자 자산을 구성</t>
  </si>
  <si>
    <t>XR-C-TA0003; XR-C-TA0009; XR-C-TA0010; XR-C-TA0015</t>
  </si>
  <si>
    <t>XR-C-TE0023; XR-C-TE0024; XR-C-TE0025; XR-C-TE0030; XR-C-TE0031</t>
  </si>
  <si>
    <t>capability_level, option_set_id, asset_type, risk_label</t>
  </si>
  <si>
    <t>시뮬레이션은 합성 자산 메타데이터만 생성</t>
  </si>
  <si>
    <t>XR-C-BP0008</t>
  </si>
  <si>
    <t>ACQUIRE</t>
  </si>
  <si>
    <t>정보·계정 확보형</t>
  </si>
  <si>
    <t>인증·신청·상담 등의 명목으로 가상 개인정보·인증정보 제출을 유도</t>
  </si>
  <si>
    <t>XR-C-TA0001; XR-C-TA0002; XR-C-TA0006; XR-C-TA0008; XR-C-TA0015</t>
  </si>
  <si>
    <t>XR-C-TE0003; XR-C-TE0018; XR-C-TE0021; XR-C-TE0022; XR-C-TE0030; XR-C-TE0036; XR-C-TE0037</t>
  </si>
  <si>
    <t>requested_field_types, verification_type, synthetic_form_id, signal_threshold</t>
  </si>
  <si>
    <t>실제 개인정보·자격증명 저장 금지</t>
  </si>
  <si>
    <t>XR-C-BP0009</t>
  </si>
  <si>
    <t>EXPOSE</t>
  </si>
  <si>
    <t>가상 피해자 식별 단서를 합성 콘텐츠와 결합하여 게시·확산</t>
  </si>
  <si>
    <t>XR-C-TA0001; XR-C-TA0003; XR-C-TA0011; XR-C-TA0012; XR-C-TA0013; XR-C-TA0015</t>
  </si>
  <si>
    <t>XR-C-TE0004; XR-C-TE0026; XR-C-TE0027; XR-C-TE0029; XR-C-TE0030; XR-C-TE0031; XR-C-TE0034</t>
  </si>
  <si>
    <t>identifier_types, marker_set_id, account_limit, obfuscation_strength</t>
  </si>
  <si>
    <t>실존 인물 식별자는 입력·출력 모두 금지</t>
  </si>
  <si>
    <t>코드 Enum·직렬화 키</t>
  </si>
  <si>
    <t>enum_class</t>
  </si>
  <si>
    <t>id</t>
  </si>
  <si>
    <t>enum_member</t>
  </si>
  <si>
    <t>JSON_key</t>
  </si>
  <si>
    <t>registry_path</t>
  </si>
  <si>
    <t>CriminalTactic</t>
  </si>
  <si>
    <t>CRIMINAL_TARGET_DISCOVERY</t>
  </si>
  <si>
    <t>CriminalTTPRegistry.tactics</t>
  </si>
  <si>
    <t>DECEPTIVE_CREDIBILITY_MANIPULATION</t>
  </si>
  <si>
    <t>ILLICIT_OFFER_EXPOSURE</t>
  </si>
  <si>
    <t>ILLICIT_DEMAND_ACQUISITION</t>
  </si>
  <si>
    <t>CRIMINAL_COLLABORATOR_RECRUITMENT</t>
  </si>
  <si>
    <t>OFFPLATFORM_CONTACT_TRANSITION</t>
  </si>
  <si>
    <t>ILLICIT_VALUE_ACQUISITION</t>
  </si>
  <si>
    <t>PERSONAL_DATA_CREDENTIAL_ACQUISITION</t>
  </si>
  <si>
    <t>ILLICIT_COMMISSION_ACQUISITION</t>
  </si>
  <si>
    <t>ILLICIT_CONTENT_PRODUCTION</t>
  </si>
  <si>
    <t>VICTIM_IDENTIFICATION</t>
  </si>
  <si>
    <t>VICTIM_INFORMATION_EXPOSURE</t>
  </si>
  <si>
    <t>CRIMINAL_CONTENT_AMPLIFICATION</t>
  </si>
  <si>
    <t>CRIMINAL_ACTIVITY_CONTINUITY</t>
  </si>
  <si>
    <t>DETECTION_EVASION</t>
  </si>
  <si>
    <t>ENFORCEMENT_EVASION</t>
  </si>
  <si>
    <t>CriminalTechnique</t>
  </si>
  <si>
    <t>BENIGN_CRIMINAL_CONTENT_MIXING</t>
  </si>
  <si>
    <t>criminal_technique_ids</t>
  </si>
  <si>
    <t>CriminalTTPRegistry.techniques</t>
  </si>
  <si>
    <t>EXPERTISE_SIGNALING</t>
  </si>
  <si>
    <t>ENGAGEMENT_PROBE_POST</t>
  </si>
  <si>
    <t>INTEREST_MARKER_INSERTION</t>
  </si>
  <si>
    <t>FABRICATED_OUTCOME_EVIDENCE</t>
  </si>
  <si>
    <t>FABRICATED_TESTIMONIAL</t>
  </si>
  <si>
    <t>EMOTIONAL_NARRATIVE_MANIPULATION</t>
  </si>
  <si>
    <t>AVAILABILITY_SIGNALING</t>
  </si>
  <si>
    <t>ILLICIT_PREVIEW_DISCLOSURE</t>
  </si>
  <si>
    <t>PRICE_BENEFIT_EMPHASIS</t>
  </si>
  <si>
    <t>SCARCITY_URGENCY_SIGNALING</t>
  </si>
  <si>
    <t>LEGITIMATE_ACTIVITY_DISGUISE</t>
  </si>
  <si>
    <t>INTERMEDIARY_ROLE_PRESENTATION</t>
  </si>
  <si>
    <t>ANNOUNCEMENT_STYLE_RECRUITMENT</t>
  </si>
  <si>
    <t>EXPLAINED_OFFPLATFORM_ROUTING</t>
  </si>
  <si>
    <t>PREVIEW_LED_OFFPLATFORM_ROUTING</t>
  </si>
  <si>
    <t>EXTERNAL_CONTACT_HANDLE</t>
  </si>
  <si>
    <t>PRIVATE_CONTACT_TRANSITION</t>
  </si>
  <si>
    <t>STAGED_PAYMENT_DEMAND</t>
  </si>
  <si>
    <t>PRETEXTED_PAYMENT_DEMAND</t>
  </si>
  <si>
    <t>DATA_SUBMISSION_INDUCEMENT</t>
  </si>
  <si>
    <t>VERIFICATION_PRETEXT</t>
  </si>
  <si>
    <t>ILLICIT_PRODUCTION_CAPABILITY</t>
  </si>
  <si>
    <t>SELECTABLE_COMMISSION_OPTIONS</t>
  </si>
  <si>
    <t>SYNTHETIC_ILLICIT_ASSET_GENERATION</t>
  </si>
  <si>
    <t>MULTI_IDENTIFIER_DISCLOSURE</t>
  </si>
  <si>
    <t>VICTIM_CONTENT_BINDING</t>
  </si>
  <si>
    <t>PERIODIC_STATUS_REFRESH</t>
  </si>
  <si>
    <t>REDISTRIBUTION_AMPLIFICATION</t>
  </si>
  <si>
    <t>LEXICAL_OBFUSCATION</t>
  </si>
  <si>
    <t>MEDIA_EMBEDDED_TEXT_DELIVERY</t>
  </si>
  <si>
    <t>DELETE_MUTATE_REPUBLISH</t>
  </si>
  <si>
    <t>REPLACEMENT_ACCOUNT_MIGRATION</t>
  </si>
  <si>
    <t>MULTI_ACCOUNT_AMPLIFICATION</t>
  </si>
  <si>
    <t>ACCOUNT_VISIBILITY_SWITCHING</t>
  </si>
  <si>
    <t>IDENTITY_IMPERSONATION</t>
  </si>
  <si>
    <t>ENGAGEMENT_SIGNAL_SCORING</t>
  </si>
  <si>
    <t>CriminalProcedure</t>
  </si>
  <si>
    <t>SELECT_CRIMINAL_INTENT_TEMPLATE</t>
  </si>
  <si>
    <t>criminal_procedure_sequence</t>
  </si>
  <si>
    <t>CriminalTTPRegistry.procedures</t>
  </si>
  <si>
    <t>SELECT_CANDIDATE_TARGET_COHORT</t>
  </si>
  <si>
    <t>SCORE_ENGAGEMENT_SIGNALS</t>
  </si>
  <si>
    <t>SET_CONTENT_MIX_PLAN</t>
  </si>
  <si>
    <t>INSERT_ILLICIT_ENGAGEMENT_PROMPT</t>
  </si>
  <si>
    <t>INSERT_INTEREST_MARKERS</t>
  </si>
  <si>
    <t>INSERT_EXPERTISE_CLAIM</t>
  </si>
  <si>
    <t>INSERT_FABRICATED_OUTCOME_CLAIM</t>
  </si>
  <si>
    <t>SET_FABRICATED_EVIDENCE_ASSET</t>
  </si>
  <si>
    <t>INSERT_FABRICATED_TESTIMONIAL</t>
  </si>
  <si>
    <t>INSERT_EMOTIONAL_NARRATIVE</t>
  </si>
  <si>
    <t>INSERT_AVAILABILITY_CLAIM</t>
  </si>
  <si>
    <t>SET_PREVIEW_DISCLOSURE</t>
  </si>
  <si>
    <t>INSERT_PRICE_BENEFIT_CLAIM</t>
  </si>
  <si>
    <t>INSERT_SCARCITY_URGENCY_CLAIM</t>
  </si>
  <si>
    <t>APPLY_LEGITIMATE_ACTIVITY_DISGUISE</t>
  </si>
  <si>
    <t>INSERT_INTERMEDIARY_CLAIM</t>
  </si>
  <si>
    <t>INSERT_RECRUITMENT_CONDITIONS</t>
  </si>
  <si>
    <t>INSERT_OFFPLATFORM_RATIONALE</t>
  </si>
  <si>
    <t>SELECT_SANDBOX_EXTERNAL_ROUTE</t>
  </si>
  <si>
    <t>INSERT_EXTERNAL_CONTACT_HANDLE</t>
  </si>
  <si>
    <t>INSERT_PRIVATE_CONTACT_REQUEST</t>
  </si>
  <si>
    <t>INSERT_PAYMENT_PRETEXT</t>
  </si>
  <si>
    <t>APPEND_STAGED_PAYMENT_REQUEST</t>
  </si>
  <si>
    <t>INSERT_DATA_SUBMISSION_REQUEST</t>
  </si>
  <si>
    <t>INSERT_VERIFICATION_PRETEXT</t>
  </si>
  <si>
    <t>INSERT_PRODUCTION_CAPABILITY_CLAIM</t>
  </si>
  <si>
    <t>INSERT_COMMISSION_OPTIONS</t>
  </si>
  <si>
    <t>CREATE_SYNTHETIC_ILLICIT_ASSET_STUB</t>
  </si>
  <si>
    <t>INSERT_SYNTHETIC_VICTIM_IDENTIFIERS</t>
  </si>
  <si>
    <t>BIND_SYNTHETIC_VICTIM_TO_ASSET</t>
  </si>
  <si>
    <t>APPLY_LEXICAL_OBFUSCATION</t>
  </si>
  <si>
    <t>RENDER_PAYLOAD_TO_SYNTHETIC_MEDIA</t>
  </si>
  <si>
    <t>MUTATE_CONTENT_VARIANT</t>
  </si>
  <si>
    <t>SCHEDULE_PERIODIC_STATUS_REFRESH</t>
  </si>
  <si>
    <t>SELECT_REPLACEMENT_ACCOUNT</t>
  </si>
  <si>
    <t>COMPOSE_REPLACEMENT_ACCOUNT_NOTICE</t>
  </si>
  <si>
    <t>SWITCH_ACCOUNT_VISIBILITY</t>
  </si>
  <si>
    <t>SELECT_SOURCE_POST_FOR_AMPLIFICATION</t>
  </si>
  <si>
    <t>SELECT_AMPLIFICATION_ACCOUNTS</t>
  </si>
  <si>
    <t>ENQUEUE_CROSS_ACCOUNT_ACTIONS</t>
  </si>
  <si>
    <t>CriminalBehaviorPattern</t>
  </si>
  <si>
    <t>primary_behavior_pattern_id</t>
  </si>
  <si>
    <t>CriminalProfile.behavior_patterns</t>
  </si>
  <si>
    <t>에이전트 환경설정·이산사건 구현 스키마</t>
  </si>
  <si>
    <t>object</t>
  </si>
  <si>
    <t>field</t>
  </si>
  <si>
    <t>type</t>
  </si>
  <si>
    <t>constraint/example</t>
  </si>
  <si>
    <t>description</t>
  </si>
  <si>
    <t>CriminalProfile</t>
  </si>
  <si>
    <t>criminal_type_id</t>
  </si>
  <si>
    <t>string</t>
  </si>
  <si>
    <t>필수</t>
  </si>
  <si>
    <t>범죄자 유형 불변 ID</t>
  </si>
  <si>
    <t>주 행위형</t>
  </si>
  <si>
    <t>secondary_behavior_pattern_ids</t>
  </si>
  <si>
    <t>array&lt;string&gt;</t>
  </si>
  <si>
    <t>XR-C-BP####[]</t>
  </si>
  <si>
    <t>선택</t>
  </si>
  <si>
    <t>보조 행위형 0개 이상</t>
  </si>
  <si>
    <t>crime_domain_id</t>
  </si>
  <si>
    <t>XR-C-CD####</t>
  </si>
  <si>
    <t>범죄 분야</t>
  </si>
  <si>
    <t>domain_variables</t>
  </si>
  <si>
    <t>도메인 스키마</t>
  </si>
  <si>
    <t>분야 특화 변수</t>
  </si>
  <si>
    <t>quantitative_behavior</t>
  </si>
  <si>
    <t>15개 7일 정량속성</t>
  </si>
  <si>
    <t>L0~L5 범위에서 샘플링</t>
  </si>
  <si>
    <t>criminal_technique_weights</t>
  </si>
  <si>
    <t>map&lt;string,number&gt;</t>
  </si>
  <si>
    <t>0.0~1.0</t>
  </si>
  <si>
    <t>Technique 선택 확률 가중치</t>
  </si>
  <si>
    <t>platform_technique_weights</t>
  </si>
  <si>
    <t>상속 플랫폼 Technique 가중치</t>
  </si>
  <si>
    <t>TTPPlan</t>
  </si>
  <si>
    <t>XR-C-TA####[]</t>
  </si>
  <si>
    <t>현재 사건이 달성하려는 원자 목적 집합</t>
  </si>
  <si>
    <t>XR-C-TE####[]</t>
  </si>
  <si>
    <t>범죄자 확장 방법 집합</t>
  </si>
  <si>
    <t>platform_dependency_ids</t>
  </si>
  <si>
    <t>상속 플랫폼 실행 요소</t>
  </si>
  <si>
    <t>XR-C-PR####[]</t>
  </si>
  <si>
    <t>의미 구성·상태전이 실행 순서</t>
  </si>
  <si>
    <t>platform_procedure_sequence</t>
  </si>
  <si>
    <t>XR-P-PR####[]</t>
  </si>
  <si>
    <t>초안·삽입·첨부·발행 실행 순서</t>
  </si>
  <si>
    <t>Event</t>
  </si>
  <si>
    <t>event_time</t>
  </si>
  <si>
    <t>datetime</t>
  </si>
  <si>
    <t>이산사건 시각</t>
  </si>
  <si>
    <t>대기 없이 사건 발생 순서로 실행</t>
  </si>
  <si>
    <t>round_id</t>
  </si>
  <si>
    <t>ROUND-####</t>
  </si>
  <si>
    <t>공방 라운드 식별자</t>
  </si>
  <si>
    <t>config_version</t>
  </si>
  <si>
    <t>semver 또는 해시</t>
  </si>
  <si>
    <t>진화 전후 환경설정 추적</t>
  </si>
  <si>
    <t>AdaptationHistory</t>
  </si>
  <si>
    <t>previous_config_version</t>
  </si>
  <si>
    <t>immutable</t>
  </si>
  <si>
    <t>이전 설정 보존</t>
  </si>
  <si>
    <t>trigger_metrics</t>
  </si>
  <si>
    <t>반응·탐지·제재 지표</t>
  </si>
  <si>
    <t>변화 원인</t>
  </si>
  <si>
    <t>weight_delta</t>
  </si>
  <si>
    <t>-1.0~1.0</t>
  </si>
  <si>
    <t>다음 라운드 Technique 가중치 변화</t>
  </si>
  <si>
    <t>JSON예시</t>
  </si>
  <si>
    <t>serialized_event</t>
  </si>
  <si>
    <t>json</t>
  </si>
  <si>
    <t>{"event_id":"EVT-000042","round_id":"ROUND-0002","event_time":"2026-01-08T10:20:00+09:00","agent_id":"AGENT-C-0010","criminal_type_id":"XR-C-UT0010","primary_behavior_pattern_id":"XR-C-BP0001","secondary_behavior_pattern_ids":["XR-C-BP0006","XR-C-BP0009"],"tactic_ids":["XR-C-TA0003","XR-C-TA0004","XR-C-TA0012","XR-C-TA0015"],"criminal_technique_ids":["XR-C-TE0004","XR-C-TE0026","XR-C-TE0030","XR-C-TE0031"],"criminal_procedure_sequence":["XR-C-PR0006","XR-C-PR0030","XR-C-PR0032","XR-C-PR0033"],"platform_procedure_sequence":["XR-P-PR0001","XR-P-PR0006","XR-P-PR0007","XR-P-PR0010","XR-P-PR0014"],"content_ref":"SYN-CONTENT-0042","safety":{"synthetic_only":true,"external_network":false,"real_payment":false},"config_version":"criminal-agent-1.1.0"}</t>
  </si>
  <si>
    <t>복수 XR-C/XR-P Procedure 조합</t>
  </si>
  <si>
    <r>
      <rPr>
        <sz val="10"/>
        <color rgb="FF334155"/>
        <rFont val="맑은 고딕"/>
        <family val="3"/>
        <charset val="129"/>
      </rPr>
      <t>범죄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의미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구성</t>
    </r>
    <r>
      <rPr>
        <sz val="10"/>
        <color rgb="FF334155"/>
        <rFont val="Carlito"/>
        <family val="2"/>
        <charset val="129"/>
      </rPr>
      <t>·</t>
    </r>
    <r>
      <rPr>
        <sz val="10"/>
        <color rgb="FF334155"/>
        <rFont val="맑은 고딕"/>
        <family val="3"/>
        <charset val="129"/>
      </rPr>
      <t>가상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대상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선택</t>
    </r>
    <r>
      <rPr>
        <sz val="10"/>
        <color rgb="FF334155"/>
        <rFont val="Carlito"/>
        <family val="2"/>
        <charset val="129"/>
      </rPr>
      <t>·</t>
    </r>
    <r>
      <rPr>
        <sz val="10"/>
        <color rgb="FF334155"/>
        <rFont val="맑은 고딕"/>
        <family val="3"/>
        <charset val="129"/>
      </rPr>
      <t>합성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상태전이</t>
    </r>
    <r>
      <rPr>
        <sz val="10"/>
        <color rgb="FF334155"/>
        <rFont val="Carlito"/>
        <family val="2"/>
        <charset val="129"/>
      </rPr>
      <t>·</t>
    </r>
    <r>
      <rPr>
        <sz val="10"/>
        <color rgb="FF334155"/>
        <rFont val="맑은 고딕"/>
        <family val="3"/>
        <charset val="129"/>
      </rPr>
      <t>회피</t>
    </r>
    <r>
      <rPr>
        <sz val="10"/>
        <color rgb="FF334155"/>
        <rFont val="Carlito"/>
        <family val="2"/>
        <charset val="129"/>
      </rPr>
      <t>·</t>
    </r>
    <r>
      <rPr>
        <sz val="10"/>
        <color rgb="FF334155"/>
        <rFont val="맑은 고딕"/>
        <family val="3"/>
        <charset val="129"/>
      </rPr>
      <t>계정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오케스트레이션을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번의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함수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호출로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실행한다</t>
    </r>
    <r>
      <rPr>
        <sz val="10"/>
        <color rgb="FF334155"/>
        <rFont val="Arial"/>
        <family val="2"/>
      </rPr>
      <t xml:space="preserve">. </t>
    </r>
    <r>
      <rPr>
        <sz val="10"/>
        <color rgb="FF334155"/>
        <rFont val="맑은 고딕"/>
        <family val="3"/>
        <charset val="129"/>
      </rPr>
      <t>플랫폼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게시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동작은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포함하지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않음</t>
    </r>
    <phoneticPr fontId="6" type="noConversion"/>
  </si>
  <si>
    <r>
      <t>41</t>
    </r>
    <r>
      <rPr>
        <sz val="10"/>
        <color rgb="FF334155"/>
        <rFont val="맑은 고딕"/>
        <family val="3"/>
        <charset val="129"/>
      </rPr>
      <t>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범죄자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유형은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주</t>
    </r>
    <r>
      <rPr>
        <sz val="10"/>
        <color rgb="FF334155"/>
        <rFont val="Carlito"/>
        <family val="2"/>
        <charset val="129"/>
      </rPr>
      <t>·</t>
    </r>
    <r>
      <rPr>
        <sz val="10"/>
        <color rgb="FF334155"/>
        <rFont val="맑은 고딕"/>
        <family val="3"/>
        <charset val="129"/>
      </rPr>
      <t>보조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행위형과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범죄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분야를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결합한다</t>
    </r>
    <r>
      <rPr>
        <sz val="10"/>
        <color rgb="FF334155"/>
        <rFont val="Arial"/>
        <family val="2"/>
      </rPr>
      <t xml:space="preserve">. </t>
    </r>
    <r>
      <rPr>
        <sz val="10"/>
        <color rgb="FF334155"/>
        <rFont val="맑은 고딕"/>
        <family val="3"/>
        <charset val="129"/>
      </rPr>
      <t>이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표는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초기</t>
    </r>
    <r>
      <rPr>
        <sz val="10"/>
        <color rgb="FF334155"/>
        <rFont val="Arial"/>
        <family val="2"/>
      </rPr>
      <t xml:space="preserve"> Tactic</t>
    </r>
    <r>
      <rPr>
        <sz val="10"/>
        <color rgb="FF334155"/>
        <rFont val="Carlito"/>
        <family val="2"/>
        <charset val="129"/>
      </rPr>
      <t>·</t>
    </r>
    <r>
      <rPr>
        <sz val="10"/>
        <color rgb="FF334155"/>
        <rFont val="Arial"/>
        <family val="2"/>
      </rPr>
      <t xml:space="preserve">Technique </t>
    </r>
    <r>
      <rPr>
        <sz val="10"/>
        <color rgb="FF334155"/>
        <rFont val="맑은 고딕"/>
        <family val="3"/>
        <charset val="129"/>
      </rPr>
      <t>후보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집합이며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실제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선택은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가중치와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라운드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상태로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결정</t>
    </r>
    <phoneticPr fontId="6" type="noConversion"/>
  </si>
  <si>
    <r>
      <rPr>
        <sz val="10"/>
        <color rgb="FF334155"/>
        <rFont val="맑은 고딕"/>
        <family val="3"/>
        <charset val="129"/>
      </rPr>
      <t>하나의</t>
    </r>
    <r>
      <rPr>
        <sz val="10"/>
        <color rgb="FF334155"/>
        <rFont val="Arial"/>
        <family val="2"/>
      </rPr>
      <t xml:space="preserve"> UserAgent </t>
    </r>
    <r>
      <rPr>
        <sz val="10"/>
        <color rgb="FF334155"/>
        <rFont val="맑은 고딕"/>
        <family val="3"/>
        <charset val="129"/>
      </rPr>
      <t>클래스에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프로필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환경설정을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주입하고</t>
    </r>
    <r>
      <rPr>
        <sz val="10"/>
        <color rgb="FF334155"/>
        <rFont val="Arial"/>
        <family val="2"/>
      </rPr>
      <t xml:space="preserve"> TTPComposer</t>
    </r>
    <r>
      <rPr>
        <sz val="10"/>
        <color rgb="FF334155"/>
        <rFont val="맑은 고딕"/>
        <family val="3"/>
        <charset val="129"/>
      </rPr>
      <t>가</t>
    </r>
    <r>
      <rPr>
        <sz val="10"/>
        <color rgb="FF334155"/>
        <rFont val="Arial"/>
        <family val="2"/>
      </rPr>
      <t xml:space="preserve"> XR-C </t>
    </r>
    <r>
      <rPr>
        <sz val="10"/>
        <color rgb="FF334155"/>
        <rFont val="맑은 고딕"/>
        <family val="3"/>
        <charset val="129"/>
      </rPr>
      <t>의미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실행과</t>
    </r>
    <r>
      <rPr>
        <sz val="10"/>
        <color rgb="FF334155"/>
        <rFont val="Arial"/>
        <family val="2"/>
      </rPr>
      <t xml:space="preserve"> XR-P </t>
    </r>
    <r>
      <rPr>
        <sz val="10"/>
        <color rgb="FF334155"/>
        <rFont val="맑은 고딕"/>
        <family val="3"/>
        <charset val="129"/>
      </rPr>
      <t>게시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실행을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결합함</t>
    </r>
    <phoneticPr fontId="6" type="noConversion"/>
  </si>
  <si>
    <r>
      <rPr>
        <sz val="10"/>
        <color rgb="FF334155"/>
        <rFont val="맑은 고딕"/>
        <family val="3"/>
        <charset val="129"/>
      </rPr>
      <t>영문</t>
    </r>
    <r>
      <rPr>
        <sz val="10"/>
        <color rgb="FF334155"/>
        <rFont val="Arial"/>
        <family val="2"/>
      </rPr>
      <t xml:space="preserve"> code</t>
    </r>
    <r>
      <rPr>
        <sz val="10"/>
        <color rgb="FF334155"/>
        <rFont val="맑은 고딕"/>
        <family val="3"/>
        <charset val="129"/>
      </rPr>
      <t>는</t>
    </r>
    <r>
      <rPr>
        <sz val="10"/>
        <color rgb="FF334155"/>
        <rFont val="Arial"/>
        <family val="2"/>
      </rPr>
      <t xml:space="preserve"> Enum</t>
    </r>
    <r>
      <rPr>
        <sz val="10"/>
        <color rgb="FF334155"/>
        <rFont val="Carlito"/>
        <family val="2"/>
        <charset val="129"/>
      </rPr>
      <t>·</t>
    </r>
    <r>
      <rPr>
        <sz val="10"/>
        <color rgb="FF334155"/>
        <rFont val="맑은 고딕"/>
        <family val="3"/>
        <charset val="129"/>
      </rPr>
      <t>함수명에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사용하고</t>
    </r>
    <r>
      <rPr>
        <sz val="10"/>
        <color rgb="FF334155"/>
        <rFont val="Arial"/>
        <family val="2"/>
      </rPr>
      <t xml:space="preserve"> XR-* ID</t>
    </r>
    <r>
      <rPr>
        <sz val="10"/>
        <color rgb="FF334155"/>
        <rFont val="맑은 고딕"/>
        <family val="3"/>
        <charset val="129"/>
      </rPr>
      <t>는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저장</t>
    </r>
    <r>
      <rPr>
        <sz val="10"/>
        <color rgb="FF334155"/>
        <rFont val="Carlito"/>
        <family val="2"/>
        <charset val="129"/>
      </rPr>
      <t>·</t>
    </r>
    <r>
      <rPr>
        <sz val="10"/>
        <color rgb="FF334155"/>
        <rFont val="맑은 고딕"/>
        <family val="3"/>
        <charset val="129"/>
      </rPr>
      <t>교환</t>
    </r>
    <r>
      <rPr>
        <sz val="10"/>
        <color rgb="FF334155"/>
        <rFont val="Carlito"/>
        <family val="2"/>
        <charset val="129"/>
      </rPr>
      <t>·</t>
    </r>
    <r>
      <rPr>
        <sz val="10"/>
        <color rgb="FF334155"/>
        <rFont val="맑은 고딕"/>
        <family val="3"/>
        <charset val="129"/>
      </rPr>
      <t>로그의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불변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식별자로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사용</t>
    </r>
    <phoneticPr fontId="6" type="noConversion"/>
  </si>
  <si>
    <r>
      <rPr>
        <sz val="10"/>
        <color rgb="FF334155"/>
        <rFont val="맑은 고딕"/>
        <family val="3"/>
        <charset val="129"/>
      </rPr>
      <t>범죄자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확장은</t>
    </r>
    <r>
      <rPr>
        <sz val="10"/>
        <color rgb="FF334155"/>
        <rFont val="Arial"/>
        <family val="2"/>
      </rPr>
      <t xml:space="preserve"> XR-P/XR-U </t>
    </r>
    <r>
      <rPr>
        <sz val="10"/>
        <color rgb="FF334155"/>
        <rFont val="맑은 고딕"/>
        <family val="3"/>
        <charset val="129"/>
      </rPr>
      <t>요소를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복제하지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않고</t>
    </r>
    <r>
      <rPr>
        <sz val="10"/>
        <color rgb="FF334155"/>
        <rFont val="Arial"/>
        <family val="2"/>
      </rPr>
      <t xml:space="preserve"> ID</t>
    </r>
    <r>
      <rPr>
        <sz val="10"/>
        <color rgb="FF334155"/>
        <rFont val="맑은 고딕"/>
        <family val="3"/>
        <charset val="129"/>
      </rPr>
      <t>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참조함</t>
    </r>
    <r>
      <rPr>
        <sz val="10"/>
        <color rgb="FF334155"/>
        <rFont val="Arial"/>
        <family val="2"/>
      </rPr>
      <t>. alternative_group</t>
    </r>
    <r>
      <rPr>
        <sz val="10"/>
        <color rgb="FF334155"/>
        <rFont val="맑은 고딕"/>
        <family val="3"/>
        <charset val="129"/>
      </rPr>
      <t>이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같은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행은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실행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형식에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맞는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대안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묶음</t>
    </r>
    <phoneticPr fontId="6" type="noConversion"/>
  </si>
  <si>
    <r>
      <t>core</t>
    </r>
    <r>
      <rPr>
        <sz val="10"/>
        <color rgb="FF334155"/>
        <rFont val="맑은 고딕"/>
        <family val="3"/>
        <charset val="129"/>
      </rPr>
      <t>는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필수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원자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실행</t>
    </r>
    <r>
      <rPr>
        <sz val="10"/>
        <color rgb="FF334155"/>
        <rFont val="Arial"/>
        <family val="2"/>
      </rPr>
      <t>, optional</t>
    </r>
    <r>
      <rPr>
        <sz val="10"/>
        <color rgb="FF334155"/>
        <rFont val="맑은 고딕"/>
        <family val="3"/>
        <charset val="129"/>
      </rPr>
      <t>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프로필</t>
    </r>
    <r>
      <rPr>
        <sz val="10"/>
        <color rgb="FF334155"/>
        <rFont val="Carlito"/>
        <family val="2"/>
        <charset val="129"/>
      </rPr>
      <t>·</t>
    </r>
    <r>
      <rPr>
        <sz val="10"/>
        <color rgb="FF334155"/>
        <rFont val="맑은 고딕"/>
        <family val="3"/>
        <charset val="129"/>
      </rPr>
      <t>확률에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따른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추가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실행</t>
    </r>
    <r>
      <rPr>
        <sz val="10"/>
        <color rgb="FF334155"/>
        <rFont val="Arial"/>
        <family val="2"/>
      </rPr>
      <t xml:space="preserve">. </t>
    </r>
    <r>
      <rPr>
        <sz val="10"/>
        <color rgb="FF334155"/>
        <rFont val="맑은 고딕"/>
        <family val="3"/>
        <charset val="129"/>
      </rPr>
      <t>순서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힌트는</t>
    </r>
    <r>
      <rPr>
        <sz val="10"/>
        <color rgb="FF334155"/>
        <rFont val="Arial"/>
        <family val="2"/>
      </rPr>
      <t xml:space="preserve"> Technique </t>
    </r>
    <r>
      <rPr>
        <sz val="10"/>
        <color rgb="FF334155"/>
        <rFont val="맑은 고딕"/>
        <family val="3"/>
        <charset val="129"/>
      </rPr>
      <t>내부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실행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순서를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나타냄</t>
    </r>
    <phoneticPr fontId="6" type="noConversion"/>
  </si>
  <si>
    <r>
      <t>Technique</t>
    </r>
    <r>
      <rPr>
        <sz val="10"/>
        <color rgb="FF334155"/>
        <rFont val="맑은 고딕"/>
        <family val="3"/>
        <charset val="129"/>
      </rPr>
      <t>이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지원하는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원자</t>
    </r>
    <r>
      <rPr>
        <sz val="10"/>
        <color rgb="FF334155"/>
        <rFont val="Arial"/>
        <family val="2"/>
      </rPr>
      <t xml:space="preserve"> Tactic</t>
    </r>
    <r>
      <rPr>
        <sz val="10"/>
        <color rgb="FF334155"/>
        <rFont val="맑은 고딕"/>
        <family val="3"/>
        <charset val="129"/>
      </rPr>
      <t>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다대다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관계로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저장함</t>
    </r>
    <r>
      <rPr>
        <sz val="10"/>
        <color rgb="FF334155"/>
        <rFont val="Arial"/>
        <family val="2"/>
      </rPr>
      <t xml:space="preserve">. </t>
    </r>
    <r>
      <rPr>
        <sz val="10"/>
        <color rgb="FF334155"/>
        <rFont val="맑은 고딕"/>
        <family val="3"/>
        <charset val="129"/>
      </rPr>
      <t>하나의</t>
    </r>
    <r>
      <rPr>
        <sz val="10"/>
        <color rgb="FF334155"/>
        <rFont val="Arial"/>
        <family val="2"/>
      </rPr>
      <t xml:space="preserve"> Technique</t>
    </r>
    <r>
      <rPr>
        <sz val="10"/>
        <color rgb="FF334155"/>
        <rFont val="맑은 고딕"/>
        <family val="3"/>
        <charset val="129"/>
      </rPr>
      <t>이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여러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목적에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기여할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수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있음</t>
    </r>
    <phoneticPr fontId="6" type="noConversion"/>
  </si>
  <si>
    <r>
      <rPr>
        <sz val="10"/>
        <color rgb="FF334155"/>
        <rFont val="맑은 고딕"/>
        <family val="3"/>
        <charset val="129"/>
      </rPr>
      <t>범죄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목적을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달성하기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위한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재사용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가능한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방법</t>
    </r>
    <r>
      <rPr>
        <sz val="10"/>
        <color rgb="FF334155"/>
        <rFont val="Arial"/>
        <family val="2"/>
      </rPr>
      <t xml:space="preserve">. </t>
    </r>
    <r>
      <rPr>
        <sz val="10"/>
        <color rgb="FF334155"/>
        <rFont val="맑은 고딕"/>
        <family val="3"/>
        <charset val="129"/>
      </rPr>
      <t>자체</t>
    </r>
    <r>
      <rPr>
        <sz val="10"/>
        <color rgb="FF334155"/>
        <rFont val="Arial"/>
        <family val="2"/>
      </rPr>
      <t xml:space="preserve"> Procedure</t>
    </r>
    <r>
      <rPr>
        <sz val="10"/>
        <color rgb="FF334155"/>
        <rFont val="맑은 고딕"/>
        <family val="3"/>
        <charset val="129"/>
      </rPr>
      <t>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플랫폼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공통</t>
    </r>
    <r>
      <rPr>
        <sz val="10"/>
        <color rgb="FF334155"/>
        <rFont val="Arial"/>
        <family val="2"/>
      </rPr>
      <t xml:space="preserve"> TTP </t>
    </r>
    <r>
      <rPr>
        <sz val="10"/>
        <color rgb="FF334155"/>
        <rFont val="맑은 고딕"/>
        <family val="3"/>
        <charset val="129"/>
      </rPr>
      <t>의존성을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함께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가짐</t>
    </r>
    <phoneticPr fontId="6" type="noConversion"/>
  </si>
  <si>
    <r>
      <rPr>
        <sz val="10"/>
        <color rgb="FF334155"/>
        <rFont val="맑은 고딕"/>
        <family val="3"/>
        <charset val="129"/>
      </rPr>
      <t>범죄자가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달성하려는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범죄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목적을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원자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단위로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정의함</t>
    </r>
    <r>
      <rPr>
        <sz val="10"/>
        <color rgb="FF334155"/>
        <rFont val="Arial"/>
        <family val="2"/>
      </rPr>
      <t xml:space="preserve">. </t>
    </r>
    <r>
      <rPr>
        <sz val="10"/>
        <color rgb="FF334155"/>
        <rFont val="맑은 고딕"/>
        <family val="3"/>
        <charset val="129"/>
      </rPr>
      <t>복합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목적은</t>
    </r>
    <r>
      <rPr>
        <sz val="10"/>
        <color rgb="FF334155"/>
        <rFont val="Arial"/>
        <family val="2"/>
      </rPr>
      <t xml:space="preserve"> 08_Tactic</t>
    </r>
    <r>
      <rPr>
        <sz val="10"/>
        <color rgb="FF334155"/>
        <rFont val="맑은 고딕"/>
        <family val="3"/>
        <charset val="129"/>
      </rPr>
      <t>조합과</t>
    </r>
    <r>
      <rPr>
        <sz val="10"/>
        <color rgb="FF334155"/>
        <rFont val="Arial"/>
        <family val="2"/>
      </rPr>
      <t xml:space="preserve"> tactic_ids </t>
    </r>
    <r>
      <rPr>
        <sz val="10"/>
        <color rgb="FF334155"/>
        <rFont val="맑은 고딕"/>
        <family val="3"/>
        <charset val="129"/>
      </rPr>
      <t>배열로만</t>
    </r>
    <r>
      <rPr>
        <sz val="10"/>
        <color rgb="FF334155"/>
        <rFont val="Arial"/>
        <family val="2"/>
      </rPr>
      <t xml:space="preserve"> </t>
    </r>
    <r>
      <rPr>
        <sz val="10"/>
        <color rgb="FF334155"/>
        <rFont val="맑은 고딕"/>
        <family val="3"/>
        <charset val="129"/>
      </rPr>
      <t>표현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</si>
</sst>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rlito"/>
    </font>
    <font>
      <sz val="10"/>
      <color rgb="FF1F2937"/>
      <name val="Carlito"/>
    </font>
    <font>
      <b/>
      <sz val="16"/>
      <color rgb="FFFFFFFF"/>
      <name val="Carlito"/>
    </font>
    <font>
      <sz val="10"/>
      <color rgb="FF334155"/>
      <name val="Carlito"/>
    </font>
    <font>
      <b/>
      <sz val="10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0"/>
      <color rgb="FF334155"/>
      <name val="맑은 고딕"/>
      <family val="3"/>
      <charset val="129"/>
    </font>
    <font>
      <sz val="10"/>
      <color rgb="FF334155"/>
      <name val="Arial"/>
      <family val="2"/>
    </font>
    <font>
      <sz val="10"/>
      <color rgb="FF334155"/>
      <name val="Carlito"/>
      <family val="2"/>
      <charset val="129"/>
    </font>
    <font>
      <sz val="10"/>
      <color rgb="FF334155"/>
      <name val="Carlito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FF2F75B5"/>
      </patternFill>
    </fill>
  </fills>
  <borders count="7">
    <border>
      <left/>
      <right/>
      <top/>
      <bottom/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/>
      <top style="thin">
        <color rgb="FF9FBAD0"/>
      </top>
      <bottom style="thin">
        <color rgb="FF9FBAD0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1" fillId="0" borderId="0" xfId="1" applyFont="1"/>
    <xf numFmtId="0" fontId="4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1" fillId="0" borderId="5" xfId="1" applyFont="1" applyBorder="1" applyAlignment="1">
      <alignment vertical="top" wrapText="1"/>
    </xf>
    <xf numFmtId="0" fontId="4" fillId="4" borderId="6" xfId="1" applyFont="1" applyFill="1" applyBorder="1" applyAlignment="1">
      <alignment horizontal="center" vertical="center" wrapText="1"/>
    </xf>
    <xf numFmtId="0" fontId="1" fillId="0" borderId="3" xfId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4" xfId="1" applyFont="1" applyBorder="1" applyAlignment="1">
      <alignment horizontal="left" vertical="center" wrapText="1"/>
    </xf>
    <xf numFmtId="0" fontId="1" fillId="0" borderId="5" xfId="1" applyFont="1" applyBorder="1" applyAlignment="1">
      <alignment horizontal="left" vertical="center" wrapText="1"/>
    </xf>
    <xf numFmtId="0" fontId="1" fillId="0" borderId="3" xfId="1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0" borderId="4" xfId="1" applyFont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1" applyFont="1" applyFill="1" applyAlignment="1">
      <alignment vertical="center"/>
    </xf>
    <xf numFmtId="0" fontId="10" fillId="3" borderId="0" xfId="1" applyFont="1" applyFill="1" applyAlignment="1">
      <alignment vertical="center" wrapText="1"/>
    </xf>
    <xf numFmtId="0" fontId="3" fillId="3" borderId="0" xfId="1" applyFont="1" applyFill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72"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riminalTacticTable" displayName="CriminalTacticTable" ref="A4:E20" totalsRowShown="0" dataDxfId="71">
  <autoFilter ref="A4:E20" xr:uid="{00000000-0009-0000-0100-000003000000}"/>
  <tableColumns count="5">
    <tableColumn id="1" xr3:uid="{00000000-0010-0000-0200-000001000000}" name="tactic_id" dataDxfId="70"/>
    <tableColumn id="2" xr3:uid="{00000000-0010-0000-0200-000002000000}" name="code" dataDxfId="69"/>
    <tableColumn id="3" xr3:uid="{00000000-0010-0000-0200-000003000000}" name="명칭" dataDxfId="68"/>
    <tableColumn id="4" xr3:uid="{00000000-0010-0000-0200-000004000000}" name="정의" dataDxfId="67"/>
    <tableColumn id="9" xr3:uid="{00000000-0010-0000-0200-000009000000}" name="Technique매핑수" dataDxfId="66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riminalTechniqueTable" displayName="CriminalTechniqueTable" ref="A4:J41" totalsRowShown="0" dataDxfId="65">
  <autoFilter ref="A4:J41" xr:uid="{00000000-0009-0000-0100-000004000000}"/>
  <tableColumns count="10">
    <tableColumn id="1" xr3:uid="{00000000-0010-0000-0300-000001000000}" name="technique_id" dataDxfId="64"/>
    <tableColumn id="2" xr3:uid="{00000000-0010-0000-0300-000002000000}" name="code" dataDxfId="63"/>
    <tableColumn id="3" xr3:uid="{00000000-0010-0000-0300-000003000000}" name="명칭" dataDxfId="62"/>
    <tableColumn id="4" xr3:uid="{00000000-0010-0000-0300-000004000000}" name="정의" dataDxfId="61"/>
    <tableColumn id="5" xr3:uid="{00000000-0010-0000-0300-000005000000}" name="분류" dataDxfId="60"/>
    <tableColumn id="6" xr3:uid="{00000000-0010-0000-0300-000006000000}" name="주요파라미터" dataDxfId="59"/>
    <tableColumn id="9" xr3:uid="{00000000-0010-0000-0300-000009000000}" name="플랫폼의존설명" dataDxfId="58"/>
    <tableColumn id="12" xr3:uid="{00000000-0010-0000-0300-00000C000000}" name="Tactic매핑수" dataDxfId="57"/>
    <tableColumn id="13" xr3:uid="{00000000-0010-0000-0300-00000D000000}" name="범죄Procedure수" dataDxfId="56"/>
    <tableColumn id="14" xr3:uid="{00000000-0010-0000-0300-00000E000000}" name="플랫폼의존수" dataDxfId="55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riminalProcedureTable" displayName="CriminalProcedureTable" ref="A4:M45" totalsRowShown="0" dataDxfId="54">
  <autoFilter ref="A4:M45" xr:uid="{00000000-0009-0000-0100-000005000000}"/>
  <tableColumns count="13">
    <tableColumn id="1" xr3:uid="{00000000-0010-0000-0400-000001000000}" name="procedure_id" dataDxfId="53"/>
    <tableColumn id="2" xr3:uid="{00000000-0010-0000-0400-000002000000}" name="code" dataDxfId="52"/>
    <tableColumn id="3" xr3:uid="{00000000-0010-0000-0400-000003000000}" name="명칭" dataDxfId="51"/>
    <tableColumn id="4" xr3:uid="{00000000-0010-0000-0400-000004000000}" name="정의" dataDxfId="50"/>
    <tableColumn id="5" xr3:uid="{00000000-0010-0000-0400-000005000000}" name="실행단계" dataDxfId="49"/>
    <tableColumn id="6" xr3:uid="{00000000-0010-0000-0400-000006000000}" name="executor" dataDxfId="48"/>
    <tableColumn id="7" xr3:uid="{00000000-0010-0000-0400-000007000000}" name="parameter_schema" dataDxfId="47"/>
    <tableColumn id="8" xr3:uid="{00000000-0010-0000-0400-000008000000}" name="선행조건" dataDxfId="46"/>
    <tableColumn id="9" xr3:uid="{00000000-0010-0000-0400-000009000000}" name="실행효과" dataDxfId="45"/>
    <tableColumn id="10" xr3:uid="{00000000-0010-0000-0400-00000A000000}" name="멱등성" dataDxfId="44"/>
    <tableColumn id="11" xr3:uid="{00000000-0010-0000-0400-00000B000000}" name="event_type" dataDxfId="43"/>
    <tableColumn id="12" xr3:uid="{00000000-0010-0000-0400-00000C000000}" name="safety_guard" dataDxfId="42"/>
    <tableColumn id="16" xr3:uid="{00000000-0010-0000-0400-000010000000}" name="Technique매핑수" dataDxfId="41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riminalTacticTechniqueMap" displayName="CriminalTacticTechniqueMap" ref="A4:F77" totalsRowShown="0" dataDxfId="40">
  <autoFilter ref="A4:F77" xr:uid="{00000000-0009-0000-0100-000006000000}"/>
  <tableColumns count="6">
    <tableColumn id="1" xr3:uid="{00000000-0010-0000-0500-000001000000}" name="mapping_id" dataDxfId="39"/>
    <tableColumn id="2" xr3:uid="{00000000-0010-0000-0500-000002000000}" name="tactic_id" dataDxfId="38"/>
    <tableColumn id="3" xr3:uid="{00000000-0010-0000-0500-000003000000}" name="technique_id" dataDxfId="37"/>
    <tableColumn id="4" xr3:uid="{00000000-0010-0000-0500-000004000000}" name="relation_type" dataDxfId="36"/>
    <tableColumn id="5" xr3:uid="{00000000-0010-0000-0500-000005000000}" name="매핑근거" dataDxfId="35"/>
    <tableColumn id="8" xr3:uid="{00000000-0010-0000-0500-000008000000}" name="mapping_key" dataDxfId="34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riminalTechniqueProcedureMap" displayName="CriminalTechniqueProcedureMap" ref="A4:G57" totalsRowShown="0" dataDxfId="33">
  <autoFilter ref="A4:G57" xr:uid="{00000000-0009-0000-0100-000007000000}"/>
  <tableColumns count="7">
    <tableColumn id="1" xr3:uid="{00000000-0010-0000-0600-000001000000}" name="mapping_id" dataDxfId="32"/>
    <tableColumn id="2" xr3:uid="{00000000-0010-0000-0600-000002000000}" name="technique_id" dataDxfId="31"/>
    <tableColumn id="3" xr3:uid="{00000000-0010-0000-0600-000003000000}" name="procedure_id" dataDxfId="30"/>
    <tableColumn id="4" xr3:uid="{00000000-0010-0000-0600-000004000000}" name="relation_type" dataDxfId="29"/>
    <tableColumn id="5" xr3:uid="{00000000-0010-0000-0600-000005000000}" name="order_hint" dataDxfId="28"/>
    <tableColumn id="6" xr3:uid="{00000000-0010-0000-0600-000006000000}" name="실행역할" dataDxfId="27"/>
    <tableColumn id="9" xr3:uid="{00000000-0010-0000-0600-000009000000}" name="mapping_key" dataDxfId="26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PlatformDependencyTable" displayName="PlatformDependencyTable" ref="A4:I191" totalsRowShown="0" dataDxfId="25">
  <autoFilter ref="A4:I191" xr:uid="{00000000-0009-0000-0100-000008000000}"/>
  <tableColumns count="9">
    <tableColumn id="1" xr3:uid="{00000000-0010-0000-0700-000001000000}" name="dependency_id" dataDxfId="24"/>
    <tableColumn id="2" xr3:uid="{00000000-0010-0000-0700-000002000000}" name="criminal_technique_id" dataDxfId="23"/>
    <tableColumn id="3" xr3:uid="{00000000-0010-0000-0700-000003000000}" name="dependency_type" dataDxfId="22"/>
    <tableColumn id="4" xr3:uid="{00000000-0010-0000-0700-000004000000}" name="alternative_group" dataDxfId="21"/>
    <tableColumn id="5" xr3:uid="{00000000-0010-0000-0700-000005000000}" name="platform_id" dataDxfId="20"/>
    <tableColumn id="6" xr3:uid="{00000000-0010-0000-0700-000006000000}" name="platform_type" dataDxfId="19"/>
    <tableColumn id="7" xr3:uid="{00000000-0010-0000-0700-000007000000}" name="선택규칙" dataDxfId="18"/>
    <tableColumn id="8" xr3:uid="{00000000-0010-0000-0700-000008000000}" name="의존설명" dataDxfId="17"/>
    <tableColumn id="11" xr3:uid="{00000000-0010-0000-0700-00000B000000}" name="dependency_key" dataDxfId="16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ehaviorPatternPresetTable" displayName="BehaviorPatternPresetTable" ref="A4:H13" totalsRowShown="0" dataDxfId="15">
  <autoFilter ref="A4:H13" xr:uid="{00000000-0009-0000-0100-00000A000000}"/>
  <tableColumns count="8">
    <tableColumn id="1" xr3:uid="{00000000-0010-0000-0900-000001000000}" name="behavior_pattern_id" dataDxfId="14"/>
    <tableColumn id="2" xr3:uid="{00000000-0010-0000-0900-000002000000}" name="code" dataDxfId="13"/>
    <tableColumn id="3" xr3:uid="{00000000-0010-0000-0900-000003000000}" name="명칭" dataDxfId="12"/>
    <tableColumn id="4" xr3:uid="{00000000-0010-0000-0900-000004000000}" name="정의" dataDxfId="11"/>
    <tableColumn id="5" xr3:uid="{00000000-0010-0000-0900-000005000000}" name="권장tactic_ids" dataDxfId="10"/>
    <tableColumn id="6" xr3:uid="{00000000-0010-0000-0900-000006000000}" name="권장criminal_technique_ids" dataDxfId="9"/>
    <tableColumn id="7" xr3:uid="{00000000-0010-0000-0900-000007000000}" name="주요환경설정키" dataDxfId="8"/>
    <tableColumn id="8" xr3:uid="{00000000-0010-0000-0900-000008000000}" name="분야확장규칙" dataDxfId="7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riminalCodeEnumTable" displayName="CriminalCodeEnumTable" ref="A4:F107" totalsRowShown="0" dataDxfId="6">
  <autoFilter ref="A4:F107" xr:uid="{00000000-0009-0000-0100-00000C000000}"/>
  <tableColumns count="6">
    <tableColumn id="1" xr3:uid="{00000000-0010-0000-0B00-000001000000}" name="enum_class" dataDxfId="5"/>
    <tableColumn id="2" xr3:uid="{00000000-0010-0000-0B00-000002000000}" name="id" dataDxfId="4"/>
    <tableColumn id="3" xr3:uid="{00000000-0010-0000-0B00-000003000000}" name="code" dataDxfId="3"/>
    <tableColumn id="4" xr3:uid="{00000000-0010-0000-0B00-000004000000}" name="enum_member" dataDxfId="2"/>
    <tableColumn id="5" xr3:uid="{00000000-0010-0000-0B00-000005000000}" name="JSON_key" dataDxfId="1"/>
    <tableColumn id="6" xr3:uid="{00000000-0010-0000-0B00-000006000000}" name="registry_path" dataDxfId="0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ImplementationSchemaTable" displayName="ImplementationSchemaTable" ref="A4:F24" totalsRowShown="0">
  <autoFilter ref="A4:F24" xr:uid="{00000000-0009-0000-0100-00000D000000}"/>
  <tableColumns count="6">
    <tableColumn id="1" xr3:uid="{00000000-0010-0000-0C00-000001000000}" name="object"/>
    <tableColumn id="2" xr3:uid="{00000000-0010-0000-0C00-000002000000}" name="field"/>
    <tableColumn id="3" xr3:uid="{00000000-0010-0000-0C00-000003000000}" name="type"/>
    <tableColumn id="4" xr3:uid="{00000000-0010-0000-0C00-000004000000}" name="constraint/example"/>
    <tableColumn id="5" xr3:uid="{00000000-0010-0000-0C00-000005000000}" name="required"/>
    <tableColumn id="6" xr3:uid="{00000000-0010-0000-0C00-000006000000}" name="description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showGridLines="0" tabSelected="1" zoomScale="85" zoomScaleNormal="85" workbookViewId="0">
      <selection activeCell="D29" sqref="D29"/>
    </sheetView>
  </sheetViews>
  <sheetFormatPr defaultRowHeight="14.25"/>
  <cols>
    <col min="1" max="1" width="22" customWidth="1"/>
    <col min="2" max="2" width="38" customWidth="1"/>
    <col min="3" max="3" width="30" customWidth="1"/>
    <col min="4" max="4" width="78" customWidth="1"/>
    <col min="5" max="5" width="18" customWidth="1"/>
  </cols>
  <sheetData>
    <row r="1" spans="1:5" ht="30" customHeight="1">
      <c r="A1" s="15" t="s">
        <v>12</v>
      </c>
      <c r="B1" s="15"/>
      <c r="C1" s="15"/>
      <c r="D1" s="15"/>
      <c r="E1" s="15"/>
    </row>
    <row r="2" spans="1:5" ht="39.950000000000003" customHeight="1">
      <c r="A2" s="16" t="s">
        <v>1530</v>
      </c>
      <c r="B2" s="17"/>
      <c r="C2" s="17"/>
      <c r="D2" s="17"/>
      <c r="E2" s="17"/>
    </row>
    <row r="3" spans="1:5">
      <c r="A3" s="1"/>
      <c r="B3" s="1"/>
      <c r="C3" s="1"/>
      <c r="D3" s="1"/>
      <c r="E3" s="1"/>
    </row>
    <row r="4" spans="1:5" ht="36" customHeight="1">
      <c r="A4" s="2" t="s">
        <v>13</v>
      </c>
      <c r="B4" s="5" t="s">
        <v>14</v>
      </c>
      <c r="C4" s="5" t="s">
        <v>15</v>
      </c>
      <c r="D4" s="5" t="s">
        <v>16</v>
      </c>
      <c r="E4" s="5" t="s">
        <v>17</v>
      </c>
    </row>
    <row r="5" spans="1:5" s="7" customFormat="1" ht="21.95" customHeight="1">
      <c r="A5" s="6" t="s">
        <v>1</v>
      </c>
      <c r="B5" s="6" t="s">
        <v>18</v>
      </c>
      <c r="C5" s="6" t="s">
        <v>19</v>
      </c>
      <c r="D5" s="6" t="s">
        <v>20</v>
      </c>
      <c r="E5" s="6">
        <f>COUNTIF('04_C_TA_TE_매핑'!$B$5:$B$500,A5)</f>
        <v>3</v>
      </c>
    </row>
    <row r="6" spans="1:5" s="7" customFormat="1" ht="21.95" customHeight="1">
      <c r="A6" s="8" t="s">
        <v>21</v>
      </c>
      <c r="B6" s="8" t="s">
        <v>22</v>
      </c>
      <c r="C6" s="8" t="s">
        <v>23</v>
      </c>
      <c r="D6" s="8" t="s">
        <v>24</v>
      </c>
      <c r="E6" s="8">
        <f>COUNTIF('04_C_TA_TE_매핑'!$B$5:$B$500,A6)</f>
        <v>8</v>
      </c>
    </row>
    <row r="7" spans="1:5" s="7" customFormat="1" ht="21.95" customHeight="1">
      <c r="A7" s="8" t="s">
        <v>25</v>
      </c>
      <c r="B7" s="8" t="s">
        <v>26</v>
      </c>
      <c r="C7" s="8" t="s">
        <v>27</v>
      </c>
      <c r="D7" s="8" t="s">
        <v>28</v>
      </c>
      <c r="E7" s="8">
        <f>COUNTIF('04_C_TA_TE_매핑'!$B$5:$B$500,A7)</f>
        <v>8</v>
      </c>
    </row>
    <row r="8" spans="1:5" s="7" customFormat="1" ht="21.95" customHeight="1">
      <c r="A8" s="8" t="s">
        <v>29</v>
      </c>
      <c r="B8" s="8" t="s">
        <v>30</v>
      </c>
      <c r="C8" s="8" t="s">
        <v>31</v>
      </c>
      <c r="D8" s="8" t="s">
        <v>32</v>
      </c>
      <c r="E8" s="8">
        <f>COUNTIF('04_C_TA_TE_매핑'!$B$5:$B$500,A8)</f>
        <v>12</v>
      </c>
    </row>
    <row r="9" spans="1:5" s="7" customFormat="1" ht="21.95" customHeight="1">
      <c r="A9" s="8" t="s">
        <v>33</v>
      </c>
      <c r="B9" s="8" t="s">
        <v>34</v>
      </c>
      <c r="C9" s="8" t="s">
        <v>35</v>
      </c>
      <c r="D9" s="8" t="s">
        <v>36</v>
      </c>
      <c r="E9" s="8">
        <f>COUNTIF('04_C_TA_TE_매핑'!$B$5:$B$500,A9)</f>
        <v>3</v>
      </c>
    </row>
    <row r="10" spans="1:5" s="7" customFormat="1" ht="21.95" customHeight="1">
      <c r="A10" s="8" t="s">
        <v>37</v>
      </c>
      <c r="B10" s="8" t="s">
        <v>38</v>
      </c>
      <c r="C10" s="8" t="s">
        <v>39</v>
      </c>
      <c r="D10" s="8" t="s">
        <v>40</v>
      </c>
      <c r="E10" s="8">
        <f>COUNTIF('04_C_TA_TE_매핑'!$B$5:$B$500,A10)</f>
        <v>5</v>
      </c>
    </row>
    <row r="11" spans="1:5" s="7" customFormat="1" ht="21.95" customHeight="1">
      <c r="A11" s="8" t="s">
        <v>41</v>
      </c>
      <c r="B11" s="8" t="s">
        <v>42</v>
      </c>
      <c r="C11" s="8" t="s">
        <v>43</v>
      </c>
      <c r="D11" s="8" t="s">
        <v>44</v>
      </c>
      <c r="E11" s="8">
        <f>COUNTIF('04_C_TA_TE_매핑'!$B$5:$B$500,A11)</f>
        <v>5</v>
      </c>
    </row>
    <row r="12" spans="1:5" s="7" customFormat="1" ht="21.95" customHeight="1">
      <c r="A12" s="8" t="s">
        <v>45</v>
      </c>
      <c r="B12" s="8" t="s">
        <v>46</v>
      </c>
      <c r="C12" s="8" t="s">
        <v>47</v>
      </c>
      <c r="D12" s="8" t="s">
        <v>48</v>
      </c>
      <c r="E12" s="8">
        <f>COUNTIF('04_C_TA_TE_매핑'!$B$5:$B$500,A12)</f>
        <v>3</v>
      </c>
    </row>
    <row r="13" spans="1:5" s="7" customFormat="1" ht="21.95" customHeight="1">
      <c r="A13" s="8" t="s">
        <v>49</v>
      </c>
      <c r="B13" s="8" t="s">
        <v>50</v>
      </c>
      <c r="C13" s="8" t="s">
        <v>51</v>
      </c>
      <c r="D13" s="8" t="s">
        <v>52</v>
      </c>
      <c r="E13" s="8">
        <f>COUNTIF('04_C_TA_TE_매핑'!$B$5:$B$500,A13)</f>
        <v>3</v>
      </c>
    </row>
    <row r="14" spans="1:5" s="7" customFormat="1" ht="21.95" customHeight="1">
      <c r="A14" s="8" t="s">
        <v>53</v>
      </c>
      <c r="B14" s="8" t="s">
        <v>54</v>
      </c>
      <c r="C14" s="8" t="s">
        <v>55</v>
      </c>
      <c r="D14" s="8" t="s">
        <v>56</v>
      </c>
      <c r="E14" s="8">
        <f>COUNTIF('04_C_TA_TE_매핑'!$B$5:$B$500,A14)</f>
        <v>1</v>
      </c>
    </row>
    <row r="15" spans="1:5" s="7" customFormat="1" ht="21.95" customHeight="1">
      <c r="A15" s="8" t="s">
        <v>57</v>
      </c>
      <c r="B15" s="8" t="s">
        <v>58</v>
      </c>
      <c r="C15" s="8" t="s">
        <v>59</v>
      </c>
      <c r="D15" s="8" t="s">
        <v>60</v>
      </c>
      <c r="E15" s="8">
        <f>COUNTIF('04_C_TA_TE_매핑'!$B$5:$B$500,A15)</f>
        <v>1</v>
      </c>
    </row>
    <row r="16" spans="1:5" s="7" customFormat="1" ht="21.95" customHeight="1">
      <c r="A16" s="8" t="s">
        <v>61</v>
      </c>
      <c r="B16" s="8" t="s">
        <v>62</v>
      </c>
      <c r="C16" s="8" t="s">
        <v>63</v>
      </c>
      <c r="D16" s="8" t="s">
        <v>64</v>
      </c>
      <c r="E16" s="8">
        <f>COUNTIF('04_C_TA_TE_매핑'!$B$5:$B$500,A16)</f>
        <v>2</v>
      </c>
    </row>
    <row r="17" spans="1:5" s="7" customFormat="1" ht="21.95" customHeight="1">
      <c r="A17" s="8" t="s">
        <v>65</v>
      </c>
      <c r="B17" s="8" t="s">
        <v>66</v>
      </c>
      <c r="C17" s="8" t="s">
        <v>67</v>
      </c>
      <c r="D17" s="8" t="s">
        <v>68</v>
      </c>
      <c r="E17" s="8">
        <f>COUNTIF('04_C_TA_TE_매핑'!$B$5:$B$500,A17)</f>
        <v>2</v>
      </c>
    </row>
    <row r="18" spans="1:5" s="7" customFormat="1" ht="21.95" customHeight="1">
      <c r="A18" s="8" t="s">
        <v>69</v>
      </c>
      <c r="B18" s="8" t="s">
        <v>70</v>
      </c>
      <c r="C18" s="8" t="s">
        <v>71</v>
      </c>
      <c r="D18" s="8" t="s">
        <v>72</v>
      </c>
      <c r="E18" s="8">
        <f>COUNTIF('04_C_TA_TE_매핑'!$B$5:$B$500,A18)</f>
        <v>8</v>
      </c>
    </row>
    <row r="19" spans="1:5" s="7" customFormat="1" ht="21.95" customHeight="1">
      <c r="A19" s="8" t="s">
        <v>73</v>
      </c>
      <c r="B19" s="8" t="s">
        <v>74</v>
      </c>
      <c r="C19" s="8" t="s">
        <v>75</v>
      </c>
      <c r="D19" s="8" t="s">
        <v>76</v>
      </c>
      <c r="E19" s="8">
        <f>COUNTIF('04_C_TA_TE_매핑'!$B$5:$B$500,A19)</f>
        <v>5</v>
      </c>
    </row>
    <row r="20" spans="1:5" s="7" customFormat="1" ht="21.95" customHeight="1">
      <c r="A20" s="9" t="s">
        <v>77</v>
      </c>
      <c r="B20" s="9" t="s">
        <v>78</v>
      </c>
      <c r="C20" s="9" t="s">
        <v>79</v>
      </c>
      <c r="D20" s="9" t="s">
        <v>80</v>
      </c>
      <c r="E20" s="9">
        <f>COUNTIF('04_C_TA_TE_매핑'!$B$5:$B$500,A20)</f>
        <v>4</v>
      </c>
    </row>
  </sheetData>
  <mergeCells count="2">
    <mergeCell ref="A1:E1"/>
    <mergeCell ref="A2:E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showGridLines="0" topLeftCell="D1" zoomScale="85" zoomScaleNormal="85" workbookViewId="0">
      <selection activeCell="G24" sqref="G24"/>
    </sheetView>
  </sheetViews>
  <sheetFormatPr defaultRowHeight="14.25"/>
  <cols>
    <col min="1" max="1" width="22" customWidth="1"/>
    <col min="2" max="2" width="40" customWidth="1"/>
    <col min="3" max="3" width="32" customWidth="1"/>
    <col min="4" max="4" width="80" customWidth="1"/>
    <col min="5" max="5" width="20" customWidth="1"/>
    <col min="6" max="6" width="54" customWidth="1"/>
    <col min="7" max="7" width="72" customWidth="1"/>
    <col min="8" max="8" width="18" customWidth="1"/>
    <col min="9" max="9" width="20" customWidth="1"/>
    <col min="10" max="10" width="18" customWidth="1"/>
  </cols>
  <sheetData>
    <row r="1" spans="1:10" ht="30" customHeight="1">
      <c r="A1" s="15" t="s">
        <v>81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39.950000000000003" customHeight="1">
      <c r="A2" s="16" t="s">
        <v>1529</v>
      </c>
      <c r="B2" s="17"/>
      <c r="C2" s="17"/>
      <c r="D2" s="17"/>
      <c r="E2" s="17"/>
      <c r="F2" s="17"/>
      <c r="G2" s="17"/>
      <c r="H2" s="17"/>
      <c r="I2" s="17"/>
      <c r="J2" s="17"/>
    </row>
    <row r="3" spans="1:10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36" customHeight="1">
      <c r="A4" s="2" t="s">
        <v>82</v>
      </c>
      <c r="B4" s="5" t="s">
        <v>14</v>
      </c>
      <c r="C4" s="5" t="s">
        <v>15</v>
      </c>
      <c r="D4" s="5" t="s">
        <v>16</v>
      </c>
      <c r="E4" s="5" t="s">
        <v>83</v>
      </c>
      <c r="F4" s="5" t="s">
        <v>84</v>
      </c>
      <c r="G4" s="5" t="s">
        <v>85</v>
      </c>
      <c r="H4" s="5" t="s">
        <v>86</v>
      </c>
      <c r="I4" s="5" t="s">
        <v>87</v>
      </c>
      <c r="J4" s="5" t="s">
        <v>88</v>
      </c>
    </row>
    <row r="5" spans="1:10" s="11" customFormat="1" ht="21.95" customHeight="1">
      <c r="A5" s="10" t="s">
        <v>2</v>
      </c>
      <c r="B5" s="10" t="s">
        <v>89</v>
      </c>
      <c r="C5" s="10" t="s">
        <v>90</v>
      </c>
      <c r="D5" s="10" t="s">
        <v>91</v>
      </c>
      <c r="E5" s="10" t="s">
        <v>92</v>
      </c>
      <c r="F5" s="10" t="s">
        <v>93</v>
      </c>
      <c r="G5" s="10" t="s">
        <v>94</v>
      </c>
      <c r="H5" s="10">
        <f>COUNTIF('04_C_TA_TE_매핑'!$C$5:$C$500,A5)</f>
        <v>2</v>
      </c>
      <c r="I5" s="10">
        <f>COUNTIF('05_C_TE_PR_매핑'!$B$5:$B$500,A5)</f>
        <v>2</v>
      </c>
      <c r="J5" s="10">
        <f>COUNTIF('06_플랫폼의존'!$B$5:$B$1000,A5)</f>
        <v>4</v>
      </c>
    </row>
    <row r="6" spans="1:10" s="11" customFormat="1" ht="21.95" customHeight="1">
      <c r="A6" s="12" t="s">
        <v>95</v>
      </c>
      <c r="B6" s="12" t="s">
        <v>96</v>
      </c>
      <c r="C6" s="12" t="s">
        <v>97</v>
      </c>
      <c r="D6" s="12" t="s">
        <v>98</v>
      </c>
      <c r="E6" s="12" t="s">
        <v>99</v>
      </c>
      <c r="F6" s="12" t="s">
        <v>100</v>
      </c>
      <c r="G6" s="12" t="s">
        <v>101</v>
      </c>
      <c r="H6" s="12">
        <f>COUNTIF('04_C_TA_TE_매핑'!$C$5:$C$500,A6)</f>
        <v>1</v>
      </c>
      <c r="I6" s="12">
        <f>COUNTIF('05_C_TE_PR_매핑'!$B$5:$B$500,A6)</f>
        <v>1</v>
      </c>
      <c r="J6" s="12">
        <f>COUNTIF('06_플랫폼의존'!$B$5:$B$1000,A6)</f>
        <v>5</v>
      </c>
    </row>
    <row r="7" spans="1:10" s="11" customFormat="1" ht="21.95" customHeight="1">
      <c r="A7" s="12" t="s">
        <v>102</v>
      </c>
      <c r="B7" s="12" t="s">
        <v>103</v>
      </c>
      <c r="C7" s="12" t="s">
        <v>104</v>
      </c>
      <c r="D7" s="12" t="s">
        <v>105</v>
      </c>
      <c r="E7" s="12" t="s">
        <v>106</v>
      </c>
      <c r="F7" s="12" t="s">
        <v>107</v>
      </c>
      <c r="G7" s="12" t="s">
        <v>108</v>
      </c>
      <c r="H7" s="12">
        <f>COUNTIF('04_C_TA_TE_매핑'!$C$5:$C$500,A7)</f>
        <v>3</v>
      </c>
      <c r="I7" s="12">
        <f>COUNTIF('05_C_TE_PR_매핑'!$B$5:$B$500,A7)</f>
        <v>3</v>
      </c>
      <c r="J7" s="12">
        <f>COUNTIF('06_플랫폼의존'!$B$5:$B$1000,A7)</f>
        <v>7</v>
      </c>
    </row>
    <row r="8" spans="1:10" s="11" customFormat="1" ht="21.95" customHeight="1">
      <c r="A8" s="12" t="s">
        <v>109</v>
      </c>
      <c r="B8" s="12" t="s">
        <v>110</v>
      </c>
      <c r="C8" s="12" t="s">
        <v>111</v>
      </c>
      <c r="D8" s="12" t="s">
        <v>112</v>
      </c>
      <c r="E8" s="12" t="s">
        <v>113</v>
      </c>
      <c r="F8" s="12" t="s">
        <v>114</v>
      </c>
      <c r="G8" s="12" t="s">
        <v>115</v>
      </c>
      <c r="H8" s="12">
        <f>COUNTIF('04_C_TA_TE_매핑'!$C$5:$C$500,A8)</f>
        <v>3</v>
      </c>
      <c r="I8" s="12">
        <f>COUNTIF('05_C_TE_PR_매핑'!$B$5:$B$500,A8)</f>
        <v>1</v>
      </c>
      <c r="J8" s="12">
        <f>COUNTIF('06_플랫폼의존'!$B$5:$B$1000,A8)</f>
        <v>4</v>
      </c>
    </row>
    <row r="9" spans="1:10" s="11" customFormat="1" ht="21.95" customHeight="1">
      <c r="A9" s="12" t="s">
        <v>116</v>
      </c>
      <c r="B9" s="12" t="s">
        <v>117</v>
      </c>
      <c r="C9" s="12" t="s">
        <v>118</v>
      </c>
      <c r="D9" s="12" t="s">
        <v>119</v>
      </c>
      <c r="E9" s="12" t="s">
        <v>99</v>
      </c>
      <c r="F9" s="12" t="s">
        <v>120</v>
      </c>
      <c r="G9" s="12" t="s">
        <v>121</v>
      </c>
      <c r="H9" s="12">
        <f>COUNTIF('04_C_TA_TE_매핑'!$C$5:$C$500,A9)</f>
        <v>2</v>
      </c>
      <c r="I9" s="12">
        <f>COUNTIF('05_C_TE_PR_매핑'!$B$5:$B$500,A9)</f>
        <v>2</v>
      </c>
      <c r="J9" s="12">
        <f>COUNTIF('06_플랫폼의존'!$B$5:$B$1000,A9)</f>
        <v>6</v>
      </c>
    </row>
    <row r="10" spans="1:10" s="11" customFormat="1" ht="21.95" customHeight="1">
      <c r="A10" s="12" t="s">
        <v>122</v>
      </c>
      <c r="B10" s="12" t="s">
        <v>123</v>
      </c>
      <c r="C10" s="12" t="s">
        <v>124</v>
      </c>
      <c r="D10" s="12" t="s">
        <v>125</v>
      </c>
      <c r="E10" s="12" t="s">
        <v>99</v>
      </c>
      <c r="F10" s="12" t="s">
        <v>126</v>
      </c>
      <c r="G10" s="12" t="s">
        <v>127</v>
      </c>
      <c r="H10" s="12">
        <f>COUNTIF('04_C_TA_TE_매핑'!$C$5:$C$500,A10)</f>
        <v>2</v>
      </c>
      <c r="I10" s="12">
        <f>COUNTIF('05_C_TE_PR_매핑'!$B$5:$B$500,A10)</f>
        <v>1</v>
      </c>
      <c r="J10" s="12">
        <f>COUNTIF('06_플랫폼의존'!$B$5:$B$1000,A10)</f>
        <v>5</v>
      </c>
    </row>
    <row r="11" spans="1:10" s="11" customFormat="1" ht="21.95" customHeight="1">
      <c r="A11" s="12" t="s">
        <v>128</v>
      </c>
      <c r="B11" s="12" t="s">
        <v>129</v>
      </c>
      <c r="C11" s="12" t="s">
        <v>130</v>
      </c>
      <c r="D11" s="12" t="s">
        <v>131</v>
      </c>
      <c r="E11" s="12" t="s">
        <v>99</v>
      </c>
      <c r="F11" s="12" t="s">
        <v>132</v>
      </c>
      <c r="G11" s="12" t="s">
        <v>133</v>
      </c>
      <c r="H11" s="12">
        <f>COUNTIF('04_C_TA_TE_매핑'!$C$5:$C$500,A11)</f>
        <v>3</v>
      </c>
      <c r="I11" s="12">
        <f>COUNTIF('05_C_TE_PR_매핑'!$B$5:$B$500,A11)</f>
        <v>1</v>
      </c>
      <c r="J11" s="12">
        <f>COUNTIF('06_플랫폼의존'!$B$5:$B$1000,A11)</f>
        <v>5</v>
      </c>
    </row>
    <row r="12" spans="1:10" s="11" customFormat="1" ht="21.95" customHeight="1">
      <c r="A12" s="12" t="s">
        <v>134</v>
      </c>
      <c r="B12" s="12" t="s">
        <v>135</v>
      </c>
      <c r="C12" s="12" t="s">
        <v>136</v>
      </c>
      <c r="D12" s="12" t="s">
        <v>137</v>
      </c>
      <c r="E12" s="12" t="s">
        <v>138</v>
      </c>
      <c r="F12" s="12" t="s">
        <v>139</v>
      </c>
      <c r="G12" s="12" t="s">
        <v>140</v>
      </c>
      <c r="H12" s="12">
        <f>COUNTIF('04_C_TA_TE_매핑'!$C$5:$C$500,A12)</f>
        <v>2</v>
      </c>
      <c r="I12" s="12">
        <f>COUNTIF('05_C_TE_PR_매핑'!$B$5:$B$500,A12)</f>
        <v>1</v>
      </c>
      <c r="J12" s="12">
        <f>COUNTIF('06_플랫폼의존'!$B$5:$B$1000,A12)</f>
        <v>5</v>
      </c>
    </row>
    <row r="13" spans="1:10" s="11" customFormat="1" ht="21.95" customHeight="1">
      <c r="A13" s="12" t="s">
        <v>141</v>
      </c>
      <c r="B13" s="12" t="s">
        <v>142</v>
      </c>
      <c r="C13" s="12" t="s">
        <v>143</v>
      </c>
      <c r="D13" s="12" t="s">
        <v>144</v>
      </c>
      <c r="E13" s="12" t="s">
        <v>145</v>
      </c>
      <c r="F13" s="12" t="s">
        <v>146</v>
      </c>
      <c r="G13" s="12" t="s">
        <v>147</v>
      </c>
      <c r="H13" s="12">
        <f>COUNTIF('04_C_TA_TE_매핑'!$C$5:$C$500,A13)</f>
        <v>3</v>
      </c>
      <c r="I13" s="12">
        <f>COUNTIF('05_C_TE_PR_매핑'!$B$5:$B$500,A13)</f>
        <v>1</v>
      </c>
      <c r="J13" s="12">
        <f>COUNTIF('06_플랫폼의존'!$B$5:$B$1000,A13)</f>
        <v>5</v>
      </c>
    </row>
    <row r="14" spans="1:10" s="11" customFormat="1" ht="21.95" customHeight="1">
      <c r="A14" s="12" t="s">
        <v>148</v>
      </c>
      <c r="B14" s="12" t="s">
        <v>149</v>
      </c>
      <c r="C14" s="12" t="s">
        <v>150</v>
      </c>
      <c r="D14" s="12" t="s">
        <v>151</v>
      </c>
      <c r="E14" s="12" t="s">
        <v>138</v>
      </c>
      <c r="F14" s="12" t="s">
        <v>152</v>
      </c>
      <c r="G14" s="12" t="s">
        <v>153</v>
      </c>
      <c r="H14" s="12">
        <f>COUNTIF('04_C_TA_TE_매핑'!$C$5:$C$500,A14)</f>
        <v>3</v>
      </c>
      <c r="I14" s="12">
        <f>COUNTIF('05_C_TE_PR_매핑'!$B$5:$B$500,A14)</f>
        <v>1</v>
      </c>
      <c r="J14" s="12">
        <f>COUNTIF('06_플랫폼의존'!$B$5:$B$1000,A14)</f>
        <v>4</v>
      </c>
    </row>
    <row r="15" spans="1:10" s="11" customFormat="1" ht="21.95" customHeight="1">
      <c r="A15" s="12" t="s">
        <v>154</v>
      </c>
      <c r="B15" s="12" t="s">
        <v>155</v>
      </c>
      <c r="C15" s="12" t="s">
        <v>156</v>
      </c>
      <c r="D15" s="12" t="s">
        <v>157</v>
      </c>
      <c r="E15" s="12" t="s">
        <v>138</v>
      </c>
      <c r="F15" s="12" t="s">
        <v>158</v>
      </c>
      <c r="G15" s="12" t="s">
        <v>159</v>
      </c>
      <c r="H15" s="12">
        <f>COUNTIF('04_C_TA_TE_매핑'!$C$5:$C$500,A15)</f>
        <v>2</v>
      </c>
      <c r="I15" s="12">
        <f>COUNTIF('05_C_TE_PR_매핑'!$B$5:$B$500,A15)</f>
        <v>1</v>
      </c>
      <c r="J15" s="12">
        <f>COUNTIF('06_플랫폼의존'!$B$5:$B$1000,A15)</f>
        <v>4</v>
      </c>
    </row>
    <row r="16" spans="1:10" s="11" customFormat="1" ht="21.95" customHeight="1">
      <c r="A16" s="12" t="s">
        <v>160</v>
      </c>
      <c r="B16" s="12" t="s">
        <v>161</v>
      </c>
      <c r="C16" s="12" t="s">
        <v>162</v>
      </c>
      <c r="D16" s="12" t="s">
        <v>163</v>
      </c>
      <c r="E16" s="12" t="s">
        <v>164</v>
      </c>
      <c r="F16" s="12" t="s">
        <v>165</v>
      </c>
      <c r="G16" s="12" t="s">
        <v>166</v>
      </c>
      <c r="H16" s="12">
        <f>COUNTIF('04_C_TA_TE_매핑'!$C$5:$C$500,A16)</f>
        <v>3</v>
      </c>
      <c r="I16" s="12">
        <f>COUNTIF('05_C_TE_PR_매핑'!$B$5:$B$500,A16)</f>
        <v>1</v>
      </c>
      <c r="J16" s="12">
        <f>COUNTIF('06_플랫폼의존'!$B$5:$B$1000,A16)</f>
        <v>5</v>
      </c>
    </row>
    <row r="17" spans="1:10" s="11" customFormat="1" ht="21.95" customHeight="1">
      <c r="A17" s="12" t="s">
        <v>167</v>
      </c>
      <c r="B17" s="12" t="s">
        <v>168</v>
      </c>
      <c r="C17" s="12" t="s">
        <v>169</v>
      </c>
      <c r="D17" s="12" t="s">
        <v>170</v>
      </c>
      <c r="E17" s="12" t="s">
        <v>171</v>
      </c>
      <c r="F17" s="12" t="s">
        <v>172</v>
      </c>
      <c r="G17" s="12" t="s">
        <v>173</v>
      </c>
      <c r="H17" s="12">
        <f>COUNTIF('04_C_TA_TE_매핑'!$C$5:$C$500,A17)</f>
        <v>3</v>
      </c>
      <c r="I17" s="12">
        <f>COUNTIF('05_C_TE_PR_매핑'!$B$5:$B$500,A17)</f>
        <v>1</v>
      </c>
      <c r="J17" s="12">
        <f>COUNTIF('06_플랫폼의존'!$B$5:$B$1000,A17)</f>
        <v>5</v>
      </c>
    </row>
    <row r="18" spans="1:10" s="11" customFormat="1" ht="21.95" customHeight="1">
      <c r="A18" s="12" t="s">
        <v>174</v>
      </c>
      <c r="B18" s="12" t="s">
        <v>175</v>
      </c>
      <c r="C18" s="12" t="s">
        <v>176</v>
      </c>
      <c r="D18" s="12" t="s">
        <v>177</v>
      </c>
      <c r="E18" s="12" t="s">
        <v>178</v>
      </c>
      <c r="F18" s="12" t="s">
        <v>179</v>
      </c>
      <c r="G18" s="12" t="s">
        <v>180</v>
      </c>
      <c r="H18" s="12">
        <f>COUNTIF('04_C_TA_TE_매핑'!$C$5:$C$500,A18)</f>
        <v>2</v>
      </c>
      <c r="I18" s="12">
        <f>COUNTIF('05_C_TE_PR_매핑'!$B$5:$B$500,A18)</f>
        <v>1</v>
      </c>
      <c r="J18" s="12">
        <f>COUNTIF('06_플랫폼의존'!$B$5:$B$1000,A18)</f>
        <v>4</v>
      </c>
    </row>
    <row r="19" spans="1:10" s="11" customFormat="1" ht="21.95" customHeight="1">
      <c r="A19" s="12" t="s">
        <v>181</v>
      </c>
      <c r="B19" s="12" t="s">
        <v>182</v>
      </c>
      <c r="C19" s="12" t="s">
        <v>183</v>
      </c>
      <c r="D19" s="12" t="s">
        <v>184</v>
      </c>
      <c r="E19" s="12" t="s">
        <v>185</v>
      </c>
      <c r="F19" s="12" t="s">
        <v>186</v>
      </c>
      <c r="G19" s="12" t="s">
        <v>187</v>
      </c>
      <c r="H19" s="12">
        <f>COUNTIF('04_C_TA_TE_매핑'!$C$5:$C$500,A19)</f>
        <v>1</v>
      </c>
      <c r="I19" s="12">
        <f>COUNTIF('05_C_TE_PR_매핑'!$B$5:$B$500,A19)</f>
        <v>2</v>
      </c>
      <c r="J19" s="12">
        <f>COUNTIF('06_플랫폼의존'!$B$5:$B$1000,A19)</f>
        <v>5</v>
      </c>
    </row>
    <row r="20" spans="1:10" s="11" customFormat="1" ht="21.95" customHeight="1">
      <c r="A20" s="12" t="s">
        <v>188</v>
      </c>
      <c r="B20" s="12" t="s">
        <v>189</v>
      </c>
      <c r="C20" s="12" t="s">
        <v>190</v>
      </c>
      <c r="D20" s="12" t="s">
        <v>191</v>
      </c>
      <c r="E20" s="12" t="s">
        <v>185</v>
      </c>
      <c r="F20" s="12" t="s">
        <v>192</v>
      </c>
      <c r="G20" s="12" t="s">
        <v>193</v>
      </c>
      <c r="H20" s="12">
        <f>COUNTIF('04_C_TA_TE_매핑'!$C$5:$C$500,A20)</f>
        <v>2</v>
      </c>
      <c r="I20" s="12">
        <f>COUNTIF('05_C_TE_PR_매핑'!$B$5:$B$500,A20)</f>
        <v>3</v>
      </c>
      <c r="J20" s="12">
        <f>COUNTIF('06_플랫폼의존'!$B$5:$B$1000,A20)</f>
        <v>8</v>
      </c>
    </row>
    <row r="21" spans="1:10" s="11" customFormat="1" ht="21.95" customHeight="1">
      <c r="A21" s="12" t="s">
        <v>194</v>
      </c>
      <c r="B21" s="12" t="s">
        <v>195</v>
      </c>
      <c r="C21" s="12" t="s">
        <v>196</v>
      </c>
      <c r="D21" s="12" t="s">
        <v>197</v>
      </c>
      <c r="E21" s="12" t="s">
        <v>185</v>
      </c>
      <c r="F21" s="12" t="s">
        <v>198</v>
      </c>
      <c r="G21" s="12" t="s">
        <v>199</v>
      </c>
      <c r="H21" s="12">
        <f>COUNTIF('04_C_TA_TE_매핑'!$C$5:$C$500,A21)</f>
        <v>1</v>
      </c>
      <c r="I21" s="12">
        <f>COUNTIF('05_C_TE_PR_매핑'!$B$5:$B$500,A21)</f>
        <v>1</v>
      </c>
      <c r="J21" s="12">
        <f>COUNTIF('06_플랫폼의존'!$B$5:$B$1000,A21)</f>
        <v>5</v>
      </c>
    </row>
    <row r="22" spans="1:10" s="11" customFormat="1" ht="21.95" customHeight="1">
      <c r="A22" s="12" t="s">
        <v>200</v>
      </c>
      <c r="B22" s="12" t="s">
        <v>201</v>
      </c>
      <c r="C22" s="12" t="s">
        <v>202</v>
      </c>
      <c r="D22" s="12" t="s">
        <v>203</v>
      </c>
      <c r="E22" s="12" t="s">
        <v>185</v>
      </c>
      <c r="F22" s="12" t="s">
        <v>204</v>
      </c>
      <c r="G22" s="12" t="s">
        <v>205</v>
      </c>
      <c r="H22" s="12">
        <f>COUNTIF('04_C_TA_TE_매핑'!$C$5:$C$500,A22)</f>
        <v>1</v>
      </c>
      <c r="I22" s="12">
        <f>COUNTIF('05_C_TE_PR_매핑'!$B$5:$B$500,A22)</f>
        <v>1</v>
      </c>
      <c r="J22" s="12">
        <f>COUNTIF('06_플랫폼의존'!$B$5:$B$1000,A22)</f>
        <v>4</v>
      </c>
    </row>
    <row r="23" spans="1:10" s="11" customFormat="1" ht="21.95" customHeight="1">
      <c r="A23" s="12" t="s">
        <v>206</v>
      </c>
      <c r="B23" s="12" t="s">
        <v>207</v>
      </c>
      <c r="C23" s="12" t="s">
        <v>208</v>
      </c>
      <c r="D23" s="12" t="s">
        <v>209</v>
      </c>
      <c r="E23" s="12" t="s">
        <v>210</v>
      </c>
      <c r="F23" s="12" t="s">
        <v>211</v>
      </c>
      <c r="G23" s="12" t="s">
        <v>212</v>
      </c>
      <c r="H23" s="12">
        <f>COUNTIF('04_C_TA_TE_매핑'!$C$5:$C$500,A23)</f>
        <v>1</v>
      </c>
      <c r="I23" s="12">
        <f>COUNTIF('05_C_TE_PR_매핑'!$B$5:$B$500,A23)</f>
        <v>2</v>
      </c>
      <c r="J23" s="12">
        <f>COUNTIF('06_플랫폼의존'!$B$5:$B$1000,A23)</f>
        <v>4</v>
      </c>
    </row>
    <row r="24" spans="1:10" s="11" customFormat="1" ht="21.95" customHeight="1">
      <c r="A24" s="12" t="s">
        <v>213</v>
      </c>
      <c r="B24" s="12" t="s">
        <v>214</v>
      </c>
      <c r="C24" s="12" t="s">
        <v>215</v>
      </c>
      <c r="D24" s="12" t="s">
        <v>216</v>
      </c>
      <c r="E24" s="12" t="s">
        <v>210</v>
      </c>
      <c r="F24" s="12" t="s">
        <v>217</v>
      </c>
      <c r="G24" s="12" t="s">
        <v>218</v>
      </c>
      <c r="H24" s="12">
        <f>COUNTIF('04_C_TA_TE_매핑'!$C$5:$C$500,A24)</f>
        <v>1</v>
      </c>
      <c r="I24" s="12">
        <f>COUNTIF('05_C_TE_PR_매핑'!$B$5:$B$500,A24)</f>
        <v>1</v>
      </c>
      <c r="J24" s="12">
        <f>COUNTIF('06_플랫폼의존'!$B$5:$B$1000,A24)</f>
        <v>4</v>
      </c>
    </row>
    <row r="25" spans="1:10" s="11" customFormat="1" ht="21.95" customHeight="1">
      <c r="A25" s="12" t="s">
        <v>219</v>
      </c>
      <c r="B25" s="12" t="s">
        <v>220</v>
      </c>
      <c r="C25" s="12" t="s">
        <v>221</v>
      </c>
      <c r="D25" s="12" t="s">
        <v>222</v>
      </c>
      <c r="E25" s="12" t="s">
        <v>223</v>
      </c>
      <c r="F25" s="12" t="s">
        <v>224</v>
      </c>
      <c r="G25" s="12" t="s">
        <v>225</v>
      </c>
      <c r="H25" s="12">
        <f>COUNTIF('04_C_TA_TE_매핑'!$C$5:$C$500,A25)</f>
        <v>1</v>
      </c>
      <c r="I25" s="12">
        <f>COUNTIF('05_C_TE_PR_매핑'!$B$5:$B$500,A25)</f>
        <v>2</v>
      </c>
      <c r="J25" s="12">
        <f>COUNTIF('06_플랫폼의존'!$B$5:$B$1000,A25)</f>
        <v>4</v>
      </c>
    </row>
    <row r="26" spans="1:10" s="11" customFormat="1" ht="21.95" customHeight="1">
      <c r="A26" s="12" t="s">
        <v>226</v>
      </c>
      <c r="B26" s="12" t="s">
        <v>227</v>
      </c>
      <c r="C26" s="12" t="s">
        <v>228</v>
      </c>
      <c r="D26" s="12" t="s">
        <v>229</v>
      </c>
      <c r="E26" s="12" t="s">
        <v>223</v>
      </c>
      <c r="F26" s="12" t="s">
        <v>230</v>
      </c>
      <c r="G26" s="12" t="s">
        <v>231</v>
      </c>
      <c r="H26" s="12">
        <f>COUNTIF('04_C_TA_TE_매핑'!$C$5:$C$500,A26)</f>
        <v>2</v>
      </c>
      <c r="I26" s="12">
        <f>COUNTIF('05_C_TE_PR_매핑'!$B$5:$B$500,A26)</f>
        <v>2</v>
      </c>
      <c r="J26" s="12">
        <f>COUNTIF('06_플랫폼의존'!$B$5:$B$1000,A26)</f>
        <v>5</v>
      </c>
    </row>
    <row r="27" spans="1:10" s="11" customFormat="1" ht="21.95" customHeight="1">
      <c r="A27" s="12" t="s">
        <v>232</v>
      </c>
      <c r="B27" s="12" t="s">
        <v>233</v>
      </c>
      <c r="C27" s="12" t="s">
        <v>234</v>
      </c>
      <c r="D27" s="12" t="s">
        <v>235</v>
      </c>
      <c r="E27" s="12" t="s">
        <v>236</v>
      </c>
      <c r="F27" s="12" t="s">
        <v>237</v>
      </c>
      <c r="G27" s="12" t="s">
        <v>238</v>
      </c>
      <c r="H27" s="12">
        <f>COUNTIF('04_C_TA_TE_매핑'!$C$5:$C$500,A27)</f>
        <v>2</v>
      </c>
      <c r="I27" s="12">
        <f>COUNTIF('05_C_TE_PR_매핑'!$B$5:$B$500,A27)</f>
        <v>1</v>
      </c>
      <c r="J27" s="12">
        <f>COUNTIF('06_플랫폼의존'!$B$5:$B$1000,A27)</f>
        <v>5</v>
      </c>
    </row>
    <row r="28" spans="1:10" s="11" customFormat="1" ht="21.95" customHeight="1">
      <c r="A28" s="12" t="s">
        <v>239</v>
      </c>
      <c r="B28" s="12" t="s">
        <v>240</v>
      </c>
      <c r="C28" s="12" t="s">
        <v>241</v>
      </c>
      <c r="D28" s="12" t="s">
        <v>242</v>
      </c>
      <c r="E28" s="12" t="s">
        <v>236</v>
      </c>
      <c r="F28" s="12" t="s">
        <v>243</v>
      </c>
      <c r="G28" s="12" t="s">
        <v>244</v>
      </c>
      <c r="H28" s="12">
        <f>COUNTIF('04_C_TA_TE_매핑'!$C$5:$C$500,A28)</f>
        <v>1</v>
      </c>
      <c r="I28" s="12">
        <f>COUNTIF('05_C_TE_PR_매핑'!$B$5:$B$500,A28)</f>
        <v>1</v>
      </c>
      <c r="J28" s="12">
        <f>COUNTIF('06_플랫폼의존'!$B$5:$B$1000,A28)</f>
        <v>5</v>
      </c>
    </row>
    <row r="29" spans="1:10" s="11" customFormat="1" ht="21.95" customHeight="1">
      <c r="A29" s="12" t="s">
        <v>245</v>
      </c>
      <c r="B29" s="12" t="s">
        <v>246</v>
      </c>
      <c r="C29" s="12" t="s">
        <v>247</v>
      </c>
      <c r="D29" s="12" t="s">
        <v>248</v>
      </c>
      <c r="E29" s="12" t="s">
        <v>249</v>
      </c>
      <c r="F29" s="12" t="s">
        <v>250</v>
      </c>
      <c r="G29" s="12" t="s">
        <v>251</v>
      </c>
      <c r="H29" s="12">
        <f>COUNTIF('04_C_TA_TE_매핑'!$C$5:$C$500,A29)</f>
        <v>1</v>
      </c>
      <c r="I29" s="12">
        <f>COUNTIF('05_C_TE_PR_매핑'!$B$5:$B$500,A29)</f>
        <v>1</v>
      </c>
      <c r="J29" s="12">
        <f>COUNTIF('06_플랫폼의존'!$B$5:$B$1000,A29)</f>
        <v>5</v>
      </c>
    </row>
    <row r="30" spans="1:10" s="11" customFormat="1" ht="21.95" customHeight="1">
      <c r="A30" s="12" t="s">
        <v>252</v>
      </c>
      <c r="B30" s="12" t="s">
        <v>253</v>
      </c>
      <c r="C30" s="12" t="s">
        <v>254</v>
      </c>
      <c r="D30" s="12" t="s">
        <v>255</v>
      </c>
      <c r="E30" s="12" t="s">
        <v>256</v>
      </c>
      <c r="F30" s="12" t="s">
        <v>257</v>
      </c>
      <c r="G30" s="12" t="s">
        <v>258</v>
      </c>
      <c r="H30" s="12">
        <f>COUNTIF('04_C_TA_TE_매핑'!$C$5:$C$500,A30)</f>
        <v>2</v>
      </c>
      <c r="I30" s="12">
        <f>COUNTIF('05_C_TE_PR_매핑'!$B$5:$B$500,A30)</f>
        <v>1</v>
      </c>
      <c r="J30" s="12">
        <f>COUNTIF('06_플랫폼의존'!$B$5:$B$1000,A30)</f>
        <v>6</v>
      </c>
    </row>
    <row r="31" spans="1:10" s="11" customFormat="1" ht="21.95" customHeight="1">
      <c r="A31" s="12" t="s">
        <v>259</v>
      </c>
      <c r="B31" s="12" t="s">
        <v>260</v>
      </c>
      <c r="C31" s="12" t="s">
        <v>261</v>
      </c>
      <c r="D31" s="12" t="s">
        <v>262</v>
      </c>
      <c r="E31" s="12" t="s">
        <v>256</v>
      </c>
      <c r="F31" s="12" t="s">
        <v>263</v>
      </c>
      <c r="G31" s="12" t="s">
        <v>264</v>
      </c>
      <c r="H31" s="12">
        <f>COUNTIF('04_C_TA_TE_매핑'!$C$5:$C$500,A31)</f>
        <v>1</v>
      </c>
      <c r="I31" s="12">
        <f>COUNTIF('05_C_TE_PR_매핑'!$B$5:$B$500,A31)</f>
        <v>1</v>
      </c>
      <c r="J31" s="12">
        <f>COUNTIF('06_플랫폼의존'!$B$5:$B$1000,A31)</f>
        <v>6</v>
      </c>
    </row>
    <row r="32" spans="1:10" s="11" customFormat="1" ht="21.95" customHeight="1">
      <c r="A32" s="12" t="s">
        <v>265</v>
      </c>
      <c r="B32" s="12" t="s">
        <v>266</v>
      </c>
      <c r="C32" s="12" t="s">
        <v>267</v>
      </c>
      <c r="D32" s="12" t="s">
        <v>268</v>
      </c>
      <c r="E32" s="12" t="s">
        <v>269</v>
      </c>
      <c r="F32" s="12" t="s">
        <v>270</v>
      </c>
      <c r="G32" s="12" t="s">
        <v>271</v>
      </c>
      <c r="H32" s="12">
        <f>COUNTIF('04_C_TA_TE_매핑'!$C$5:$C$500,A32)</f>
        <v>2</v>
      </c>
      <c r="I32" s="12">
        <f>COUNTIF('05_C_TE_PR_매핑'!$B$5:$B$500,A32)</f>
        <v>2</v>
      </c>
      <c r="J32" s="12">
        <f>COUNTIF('06_플랫폼의존'!$B$5:$B$1000,A32)</f>
        <v>5</v>
      </c>
    </row>
    <row r="33" spans="1:10" s="11" customFormat="1" ht="21.95" customHeight="1">
      <c r="A33" s="12" t="s">
        <v>272</v>
      </c>
      <c r="B33" s="12" t="s">
        <v>273</v>
      </c>
      <c r="C33" s="12" t="s">
        <v>274</v>
      </c>
      <c r="D33" s="12" t="s">
        <v>275</v>
      </c>
      <c r="E33" s="12" t="s">
        <v>276</v>
      </c>
      <c r="F33" s="12" t="s">
        <v>277</v>
      </c>
      <c r="G33" s="12" t="s">
        <v>278</v>
      </c>
      <c r="H33" s="12">
        <f>COUNTIF('04_C_TA_TE_매핑'!$C$5:$C$500,A33)</f>
        <v>2</v>
      </c>
      <c r="I33" s="12">
        <f>COUNTIF('05_C_TE_PR_매핑'!$B$5:$B$500,A33)</f>
        <v>3</v>
      </c>
      <c r="J33" s="12">
        <f>COUNTIF('06_플랫폼의존'!$B$5:$B$1000,A33)</f>
        <v>10</v>
      </c>
    </row>
    <row r="34" spans="1:10" s="11" customFormat="1" ht="21.95" customHeight="1">
      <c r="A34" s="12" t="s">
        <v>279</v>
      </c>
      <c r="B34" s="12" t="s">
        <v>280</v>
      </c>
      <c r="C34" s="12" t="s">
        <v>281</v>
      </c>
      <c r="D34" s="12" t="s">
        <v>282</v>
      </c>
      <c r="E34" s="12" t="s">
        <v>283</v>
      </c>
      <c r="F34" s="12" t="s">
        <v>284</v>
      </c>
      <c r="G34" s="12" t="s">
        <v>285</v>
      </c>
      <c r="H34" s="12">
        <f>COUNTIF('04_C_TA_TE_매핑'!$C$5:$C$500,A34)</f>
        <v>1</v>
      </c>
      <c r="I34" s="12">
        <f>COUNTIF('05_C_TE_PR_매핑'!$B$5:$B$500,A34)</f>
        <v>1</v>
      </c>
      <c r="J34" s="12">
        <f>COUNTIF('06_플랫폼의존'!$B$5:$B$1000,A34)</f>
        <v>6</v>
      </c>
    </row>
    <row r="35" spans="1:10" s="11" customFormat="1" ht="21.95" customHeight="1">
      <c r="A35" s="12" t="s">
        <v>286</v>
      </c>
      <c r="B35" s="12" t="s">
        <v>287</v>
      </c>
      <c r="C35" s="12" t="s">
        <v>288</v>
      </c>
      <c r="D35" s="12" t="s">
        <v>289</v>
      </c>
      <c r="E35" s="12" t="s">
        <v>283</v>
      </c>
      <c r="F35" s="12" t="s">
        <v>290</v>
      </c>
      <c r="G35" s="12" t="s">
        <v>291</v>
      </c>
      <c r="H35" s="12">
        <f>COUNTIF('04_C_TA_TE_매핑'!$C$5:$C$500,A35)</f>
        <v>2</v>
      </c>
      <c r="I35" s="12">
        <f>COUNTIF('05_C_TE_PR_매핑'!$B$5:$B$500,A35)</f>
        <v>1</v>
      </c>
      <c r="J35" s="12">
        <f>COUNTIF('06_플랫폼의존'!$B$5:$B$1000,A35)</f>
        <v>4</v>
      </c>
    </row>
    <row r="36" spans="1:10" s="11" customFormat="1" ht="21.95" customHeight="1">
      <c r="A36" s="12" t="s">
        <v>292</v>
      </c>
      <c r="B36" s="12" t="s">
        <v>293</v>
      </c>
      <c r="C36" s="12" t="s">
        <v>294</v>
      </c>
      <c r="D36" s="12" t="s">
        <v>295</v>
      </c>
      <c r="E36" s="12" t="s">
        <v>283</v>
      </c>
      <c r="F36" s="12" t="s">
        <v>296</v>
      </c>
      <c r="G36" s="12" t="s">
        <v>297</v>
      </c>
      <c r="H36" s="12">
        <f>COUNTIF('04_C_TA_TE_매핑'!$C$5:$C$500,A36)</f>
        <v>3</v>
      </c>
      <c r="I36" s="12">
        <f>COUNTIF('05_C_TE_PR_매핑'!$B$5:$B$500,A36)</f>
        <v>1</v>
      </c>
      <c r="J36" s="12">
        <f>COUNTIF('06_플랫폼의존'!$B$5:$B$1000,A36)</f>
        <v>6</v>
      </c>
    </row>
    <row r="37" spans="1:10" s="11" customFormat="1" ht="21.95" customHeight="1">
      <c r="A37" s="12" t="s">
        <v>298</v>
      </c>
      <c r="B37" s="12" t="s">
        <v>299</v>
      </c>
      <c r="C37" s="12" t="s">
        <v>300</v>
      </c>
      <c r="D37" s="12" t="s">
        <v>301</v>
      </c>
      <c r="E37" s="12" t="s">
        <v>302</v>
      </c>
      <c r="F37" s="12" t="s">
        <v>303</v>
      </c>
      <c r="G37" s="12" t="s">
        <v>304</v>
      </c>
      <c r="H37" s="12">
        <f>COUNTIF('04_C_TA_TE_매핑'!$C$5:$C$500,A37)</f>
        <v>2</v>
      </c>
      <c r="I37" s="12">
        <f>COUNTIF('05_C_TE_PR_매핑'!$B$5:$B$500,A37)</f>
        <v>2</v>
      </c>
      <c r="J37" s="12">
        <f>COUNTIF('06_플랫폼의존'!$B$5:$B$1000,A37)</f>
        <v>4</v>
      </c>
    </row>
    <row r="38" spans="1:10" s="11" customFormat="1" ht="21.95" customHeight="1">
      <c r="A38" s="12" t="s">
        <v>305</v>
      </c>
      <c r="B38" s="12" t="s">
        <v>306</v>
      </c>
      <c r="C38" s="12" t="s">
        <v>307</v>
      </c>
      <c r="D38" s="12" t="s">
        <v>308</v>
      </c>
      <c r="E38" s="12" t="s">
        <v>302</v>
      </c>
      <c r="F38" s="12" t="s">
        <v>309</v>
      </c>
      <c r="G38" s="12" t="s">
        <v>310</v>
      </c>
      <c r="H38" s="12">
        <f>COUNTIF('04_C_TA_TE_매핑'!$C$5:$C$500,A38)</f>
        <v>3</v>
      </c>
      <c r="I38" s="12">
        <f>COUNTIF('05_C_TE_PR_매핑'!$B$5:$B$500,A38)</f>
        <v>2</v>
      </c>
      <c r="J38" s="12">
        <f>COUNTIF('06_플랫폼의존'!$B$5:$B$1000,A38)</f>
        <v>7</v>
      </c>
    </row>
    <row r="39" spans="1:10" s="11" customFormat="1" ht="21.95" customHeight="1">
      <c r="A39" s="12" t="s">
        <v>311</v>
      </c>
      <c r="B39" s="12" t="s">
        <v>312</v>
      </c>
      <c r="C39" s="12" t="s">
        <v>313</v>
      </c>
      <c r="D39" s="12" t="s">
        <v>314</v>
      </c>
      <c r="E39" s="12" t="s">
        <v>302</v>
      </c>
      <c r="F39" s="12" t="s">
        <v>315</v>
      </c>
      <c r="G39" s="12" t="s">
        <v>316</v>
      </c>
      <c r="H39" s="12">
        <f>COUNTIF('04_C_TA_TE_매핑'!$C$5:$C$500,A39)</f>
        <v>2</v>
      </c>
      <c r="I39" s="12">
        <f>COUNTIF('05_C_TE_PR_매핑'!$B$5:$B$500,A39)</f>
        <v>1</v>
      </c>
      <c r="J39" s="12">
        <f>COUNTIF('06_플랫폼의존'!$B$5:$B$1000,A39)</f>
        <v>1</v>
      </c>
    </row>
    <row r="40" spans="1:10" s="11" customFormat="1" ht="21.95" customHeight="1">
      <c r="A40" s="12" t="s">
        <v>317</v>
      </c>
      <c r="B40" s="12" t="s">
        <v>318</v>
      </c>
      <c r="C40" s="12" t="s">
        <v>319</v>
      </c>
      <c r="D40" s="12" t="s">
        <v>320</v>
      </c>
      <c r="E40" s="12" t="s">
        <v>99</v>
      </c>
      <c r="F40" s="12" t="s">
        <v>321</v>
      </c>
      <c r="G40" s="12" t="s">
        <v>322</v>
      </c>
      <c r="H40" s="12">
        <f>COUNTIF('04_C_TA_TE_매핑'!$C$5:$C$500,A40)</f>
        <v>3</v>
      </c>
      <c r="I40" s="12">
        <f>COUNTIF('05_C_TE_PR_매핑'!$B$5:$B$500,A40)</f>
        <v>2</v>
      </c>
      <c r="J40" s="12">
        <f>COUNTIF('06_플랫폼의존'!$B$5:$B$1000,A40)</f>
        <v>7</v>
      </c>
    </row>
    <row r="41" spans="1:10" s="11" customFormat="1" ht="21.95" customHeight="1">
      <c r="A41" s="13" t="s">
        <v>323</v>
      </c>
      <c r="B41" s="13" t="s">
        <v>324</v>
      </c>
      <c r="C41" s="13" t="s">
        <v>325</v>
      </c>
      <c r="D41" s="13" t="s">
        <v>326</v>
      </c>
      <c r="E41" s="13" t="s">
        <v>327</v>
      </c>
      <c r="F41" s="13" t="s">
        <v>328</v>
      </c>
      <c r="G41" s="13" t="s">
        <v>329</v>
      </c>
      <c r="H41" s="13">
        <f>COUNTIF('04_C_TA_TE_매핑'!$C$5:$C$500,A41)</f>
        <v>2</v>
      </c>
      <c r="I41" s="13">
        <f>COUNTIF('05_C_TE_PR_매핑'!$B$5:$B$500,A41)</f>
        <v>1</v>
      </c>
      <c r="J41" s="13">
        <f>COUNTIF('06_플랫폼의존'!$B$5:$B$1000,A41)</f>
        <v>3</v>
      </c>
    </row>
  </sheetData>
  <mergeCells count="2">
    <mergeCell ref="A1:J1"/>
    <mergeCell ref="A2:J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5"/>
  <sheetViews>
    <sheetView showGridLines="0" topLeftCell="F1" zoomScale="70" zoomScaleNormal="70" workbookViewId="0">
      <selection activeCell="N3" sqref="N1:N1048576"/>
    </sheetView>
  </sheetViews>
  <sheetFormatPr defaultRowHeight="14.25"/>
  <cols>
    <col min="1" max="1" width="22" customWidth="1"/>
    <col min="2" max="2" width="40" customWidth="1"/>
    <col min="3" max="3" width="32" customWidth="1"/>
    <col min="4" max="4" width="74" customWidth="1"/>
    <col min="5" max="5" width="20" customWidth="1"/>
    <col min="6" max="6" width="48" customWidth="1"/>
    <col min="7" max="7" width="82" customWidth="1"/>
    <col min="8" max="9" width="52" customWidth="1"/>
    <col min="10" max="10" width="28" customWidth="1"/>
    <col min="11" max="11" width="34" customWidth="1"/>
    <col min="12" max="12" width="26" customWidth="1"/>
    <col min="13" max="13" width="20" customWidth="1"/>
  </cols>
  <sheetData>
    <row r="1" spans="1:13" ht="30" customHeight="1">
      <c r="A1" s="15" t="s">
        <v>330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39.950000000000003" customHeight="1">
      <c r="A2" s="16" t="s">
        <v>1522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36" customHeight="1">
      <c r="A4" s="2" t="s">
        <v>331</v>
      </c>
      <c r="B4" s="5" t="s">
        <v>14</v>
      </c>
      <c r="C4" s="5" t="s">
        <v>15</v>
      </c>
      <c r="D4" s="5" t="s">
        <v>16</v>
      </c>
      <c r="E4" s="5" t="s">
        <v>332</v>
      </c>
      <c r="F4" s="5" t="s">
        <v>333</v>
      </c>
      <c r="G4" s="5" t="s">
        <v>334</v>
      </c>
      <c r="H4" s="5" t="s">
        <v>335</v>
      </c>
      <c r="I4" s="5" t="s">
        <v>336</v>
      </c>
      <c r="J4" s="5" t="s">
        <v>337</v>
      </c>
      <c r="K4" s="5" t="s">
        <v>338</v>
      </c>
      <c r="L4" s="5" t="s">
        <v>339</v>
      </c>
      <c r="M4" s="5" t="s">
        <v>17</v>
      </c>
    </row>
    <row r="5" spans="1:13" s="11" customFormat="1" ht="21.95" customHeight="1">
      <c r="A5" s="10" t="s">
        <v>3</v>
      </c>
      <c r="B5" s="10" t="s">
        <v>340</v>
      </c>
      <c r="C5" s="10" t="s">
        <v>341</v>
      </c>
      <c r="D5" s="10" t="s">
        <v>342</v>
      </c>
      <c r="E5" s="10" t="s">
        <v>343</v>
      </c>
      <c r="F5" s="10" t="s">
        <v>344</v>
      </c>
      <c r="G5" s="10" t="s">
        <v>345</v>
      </c>
      <c r="H5" s="10" t="s">
        <v>346</v>
      </c>
      <c r="I5" s="10" t="s">
        <v>347</v>
      </c>
      <c r="J5" s="10" t="s">
        <v>348</v>
      </c>
      <c r="K5" s="10" t="s">
        <v>349</v>
      </c>
      <c r="L5" s="10" t="s">
        <v>350</v>
      </c>
      <c r="M5" s="10">
        <f>COUNTIF('05_C_TE_PR_매핑'!$C$5:$C$500,A5)</f>
        <v>1</v>
      </c>
    </row>
    <row r="6" spans="1:13" s="11" customFormat="1" ht="21.95" customHeight="1">
      <c r="A6" s="12" t="s">
        <v>351</v>
      </c>
      <c r="B6" s="12" t="s">
        <v>352</v>
      </c>
      <c r="C6" s="12" t="s">
        <v>353</v>
      </c>
      <c r="D6" s="12" t="s">
        <v>354</v>
      </c>
      <c r="E6" s="12" t="s">
        <v>355</v>
      </c>
      <c r="F6" s="12" t="s">
        <v>356</v>
      </c>
      <c r="G6" s="12" t="s">
        <v>357</v>
      </c>
      <c r="H6" s="12" t="s">
        <v>358</v>
      </c>
      <c r="I6" s="12" t="s">
        <v>359</v>
      </c>
      <c r="J6" s="12" t="s">
        <v>348</v>
      </c>
      <c r="K6" s="12" t="s">
        <v>360</v>
      </c>
      <c r="L6" s="12" t="s">
        <v>361</v>
      </c>
      <c r="M6" s="12">
        <f>COUNTIF('05_C_TE_PR_매핑'!$C$5:$C$500,A6)</f>
        <v>1</v>
      </c>
    </row>
    <row r="7" spans="1:13" s="11" customFormat="1" ht="21.95" customHeight="1">
      <c r="A7" s="12" t="s">
        <v>362</v>
      </c>
      <c r="B7" s="12" t="s">
        <v>363</v>
      </c>
      <c r="C7" s="12" t="s">
        <v>364</v>
      </c>
      <c r="D7" s="12" t="s">
        <v>365</v>
      </c>
      <c r="E7" s="12" t="s">
        <v>327</v>
      </c>
      <c r="F7" s="12" t="s">
        <v>366</v>
      </c>
      <c r="G7" s="12" t="s">
        <v>367</v>
      </c>
      <c r="H7" s="12" t="s">
        <v>368</v>
      </c>
      <c r="I7" s="12" t="s">
        <v>369</v>
      </c>
      <c r="J7" s="12" t="s">
        <v>370</v>
      </c>
      <c r="K7" s="12" t="s">
        <v>371</v>
      </c>
      <c r="L7" s="12" t="s">
        <v>372</v>
      </c>
      <c r="M7" s="12">
        <f>COUNTIF('05_C_TE_PR_매핑'!$C$5:$C$500,A7)</f>
        <v>2</v>
      </c>
    </row>
    <row r="8" spans="1:13" s="11" customFormat="1" ht="21.95" customHeight="1">
      <c r="A8" s="12" t="s">
        <v>373</v>
      </c>
      <c r="B8" s="12" t="s">
        <v>374</v>
      </c>
      <c r="C8" s="12" t="s">
        <v>375</v>
      </c>
      <c r="D8" s="12" t="s">
        <v>376</v>
      </c>
      <c r="E8" s="12" t="s">
        <v>92</v>
      </c>
      <c r="F8" s="12" t="s">
        <v>377</v>
      </c>
      <c r="G8" s="12" t="s">
        <v>378</v>
      </c>
      <c r="H8" s="12" t="s">
        <v>379</v>
      </c>
      <c r="I8" s="12" t="s">
        <v>380</v>
      </c>
      <c r="J8" s="12" t="s">
        <v>381</v>
      </c>
      <c r="K8" s="12" t="s">
        <v>382</v>
      </c>
      <c r="L8" s="12" t="s">
        <v>383</v>
      </c>
      <c r="M8" s="12">
        <f>COUNTIF('05_C_TE_PR_매핑'!$C$5:$C$500,A8)</f>
        <v>1</v>
      </c>
    </row>
    <row r="9" spans="1:13" s="11" customFormat="1" ht="21.95" customHeight="1">
      <c r="A9" s="12" t="s">
        <v>384</v>
      </c>
      <c r="B9" s="12" t="s">
        <v>385</v>
      </c>
      <c r="C9" s="12" t="s">
        <v>386</v>
      </c>
      <c r="D9" s="12" t="s">
        <v>387</v>
      </c>
      <c r="E9" s="12" t="s">
        <v>388</v>
      </c>
      <c r="F9" s="12" t="s">
        <v>389</v>
      </c>
      <c r="G9" s="12" t="s">
        <v>390</v>
      </c>
      <c r="H9" s="12" t="s">
        <v>391</v>
      </c>
      <c r="I9" s="12" t="s">
        <v>392</v>
      </c>
      <c r="J9" s="12" t="s">
        <v>393</v>
      </c>
      <c r="K9" s="12" t="s">
        <v>394</v>
      </c>
      <c r="L9" s="12" t="s">
        <v>395</v>
      </c>
      <c r="M9" s="12">
        <f>COUNTIF('05_C_TE_PR_매핑'!$C$5:$C$500,A9)</f>
        <v>1</v>
      </c>
    </row>
    <row r="10" spans="1:13" s="11" customFormat="1" ht="21.95" customHeight="1">
      <c r="A10" s="12" t="s">
        <v>396</v>
      </c>
      <c r="B10" s="12" t="s">
        <v>397</v>
      </c>
      <c r="C10" s="12" t="s">
        <v>111</v>
      </c>
      <c r="D10" s="12" t="s">
        <v>398</v>
      </c>
      <c r="E10" s="12" t="s">
        <v>388</v>
      </c>
      <c r="F10" s="12" t="s">
        <v>399</v>
      </c>
      <c r="G10" s="12" t="s">
        <v>400</v>
      </c>
      <c r="H10" s="12" t="s">
        <v>401</v>
      </c>
      <c r="I10" s="12" t="s">
        <v>402</v>
      </c>
      <c r="J10" s="12" t="s">
        <v>403</v>
      </c>
      <c r="K10" s="12" t="s">
        <v>404</v>
      </c>
      <c r="L10" s="12" t="s">
        <v>405</v>
      </c>
      <c r="M10" s="12">
        <f>COUNTIF('05_C_TE_PR_매핑'!$C$5:$C$500,A10)</f>
        <v>1</v>
      </c>
    </row>
    <row r="11" spans="1:13" s="11" customFormat="1" ht="21.95" customHeight="1">
      <c r="A11" s="12" t="s">
        <v>406</v>
      </c>
      <c r="B11" s="12" t="s">
        <v>407</v>
      </c>
      <c r="C11" s="12" t="s">
        <v>408</v>
      </c>
      <c r="D11" s="12" t="s">
        <v>409</v>
      </c>
      <c r="E11" s="12" t="s">
        <v>388</v>
      </c>
      <c r="F11" s="12" t="s">
        <v>410</v>
      </c>
      <c r="G11" s="12" t="s">
        <v>411</v>
      </c>
      <c r="H11" s="12" t="s">
        <v>412</v>
      </c>
      <c r="I11" s="12" t="s">
        <v>413</v>
      </c>
      <c r="J11" s="12" t="s">
        <v>393</v>
      </c>
      <c r="K11" s="12" t="s">
        <v>414</v>
      </c>
      <c r="L11" s="12" t="s">
        <v>415</v>
      </c>
      <c r="M11" s="12">
        <f>COUNTIF('05_C_TE_PR_매핑'!$C$5:$C$500,A11)</f>
        <v>2</v>
      </c>
    </row>
    <row r="12" spans="1:13" s="11" customFormat="1" ht="21.95" customHeight="1">
      <c r="A12" s="12" t="s">
        <v>416</v>
      </c>
      <c r="B12" s="12" t="s">
        <v>417</v>
      </c>
      <c r="C12" s="12" t="s">
        <v>418</v>
      </c>
      <c r="D12" s="12" t="s">
        <v>419</v>
      </c>
      <c r="E12" s="12" t="s">
        <v>388</v>
      </c>
      <c r="F12" s="12" t="s">
        <v>420</v>
      </c>
      <c r="G12" s="12" t="s">
        <v>421</v>
      </c>
      <c r="H12" s="12" t="s">
        <v>422</v>
      </c>
      <c r="I12" s="12" t="s">
        <v>423</v>
      </c>
      <c r="J12" s="12" t="s">
        <v>393</v>
      </c>
      <c r="K12" s="12" t="s">
        <v>424</v>
      </c>
      <c r="L12" s="12" t="s">
        <v>415</v>
      </c>
      <c r="M12" s="12">
        <f>COUNTIF('05_C_TE_PR_매핑'!$C$5:$C$500,A12)</f>
        <v>1</v>
      </c>
    </row>
    <row r="13" spans="1:13" s="11" customFormat="1" ht="21.95" customHeight="1">
      <c r="A13" s="12" t="s">
        <v>425</v>
      </c>
      <c r="B13" s="12" t="s">
        <v>426</v>
      </c>
      <c r="C13" s="12" t="s">
        <v>427</v>
      </c>
      <c r="D13" s="12" t="s">
        <v>428</v>
      </c>
      <c r="E13" s="12" t="s">
        <v>388</v>
      </c>
      <c r="F13" s="12" t="s">
        <v>429</v>
      </c>
      <c r="G13" s="12" t="s">
        <v>430</v>
      </c>
      <c r="H13" s="12" t="s">
        <v>431</v>
      </c>
      <c r="I13" s="12" t="s">
        <v>432</v>
      </c>
      <c r="J13" s="12" t="s">
        <v>433</v>
      </c>
      <c r="K13" s="12" t="s">
        <v>434</v>
      </c>
      <c r="L13" s="12" t="s">
        <v>435</v>
      </c>
      <c r="M13" s="12">
        <f>COUNTIF('05_C_TE_PR_매핑'!$C$5:$C$500,A13)</f>
        <v>1</v>
      </c>
    </row>
    <row r="14" spans="1:13" s="11" customFormat="1" ht="21.95" customHeight="1">
      <c r="A14" s="12" t="s">
        <v>436</v>
      </c>
      <c r="B14" s="12" t="s">
        <v>437</v>
      </c>
      <c r="C14" s="12" t="s">
        <v>438</v>
      </c>
      <c r="D14" s="12" t="s">
        <v>439</v>
      </c>
      <c r="E14" s="12" t="s">
        <v>388</v>
      </c>
      <c r="F14" s="12" t="s">
        <v>440</v>
      </c>
      <c r="G14" s="12" t="s">
        <v>441</v>
      </c>
      <c r="H14" s="12" t="s">
        <v>442</v>
      </c>
      <c r="I14" s="12" t="s">
        <v>443</v>
      </c>
      <c r="J14" s="12" t="s">
        <v>444</v>
      </c>
      <c r="K14" s="12" t="s">
        <v>445</v>
      </c>
      <c r="L14" s="12" t="s">
        <v>446</v>
      </c>
      <c r="M14" s="12">
        <f>COUNTIF('05_C_TE_PR_매핑'!$C$5:$C$500,A14)</f>
        <v>1</v>
      </c>
    </row>
    <row r="15" spans="1:13" s="11" customFormat="1" ht="21.95" customHeight="1">
      <c r="A15" s="12" t="s">
        <v>447</v>
      </c>
      <c r="B15" s="12" t="s">
        <v>448</v>
      </c>
      <c r="C15" s="12" t="s">
        <v>449</v>
      </c>
      <c r="D15" s="12" t="s">
        <v>450</v>
      </c>
      <c r="E15" s="12" t="s">
        <v>388</v>
      </c>
      <c r="F15" s="12" t="s">
        <v>451</v>
      </c>
      <c r="G15" s="12" t="s">
        <v>452</v>
      </c>
      <c r="H15" s="12" t="s">
        <v>453</v>
      </c>
      <c r="I15" s="12" t="s">
        <v>454</v>
      </c>
      <c r="J15" s="12" t="s">
        <v>393</v>
      </c>
      <c r="K15" s="12" t="s">
        <v>455</v>
      </c>
      <c r="L15" s="12" t="s">
        <v>456</v>
      </c>
      <c r="M15" s="12">
        <f>COUNTIF('05_C_TE_PR_매핑'!$C$5:$C$500,A15)</f>
        <v>1</v>
      </c>
    </row>
    <row r="16" spans="1:13" s="11" customFormat="1" ht="21.95" customHeight="1">
      <c r="A16" s="12" t="s">
        <v>457</v>
      </c>
      <c r="B16" s="12" t="s">
        <v>458</v>
      </c>
      <c r="C16" s="12" t="s">
        <v>459</v>
      </c>
      <c r="D16" s="12" t="s">
        <v>460</v>
      </c>
      <c r="E16" s="12" t="s">
        <v>388</v>
      </c>
      <c r="F16" s="12" t="s">
        <v>461</v>
      </c>
      <c r="G16" s="12" t="s">
        <v>462</v>
      </c>
      <c r="H16" s="12" t="s">
        <v>463</v>
      </c>
      <c r="I16" s="12" t="s">
        <v>464</v>
      </c>
      <c r="J16" s="12" t="s">
        <v>465</v>
      </c>
      <c r="K16" s="12" t="s">
        <v>466</v>
      </c>
      <c r="L16" s="12" t="s">
        <v>467</v>
      </c>
      <c r="M16" s="12">
        <f>COUNTIF('05_C_TE_PR_매핑'!$C$5:$C$500,A16)</f>
        <v>1</v>
      </c>
    </row>
    <row r="17" spans="1:13" s="11" customFormat="1" ht="21.95" customHeight="1">
      <c r="A17" s="12" t="s">
        <v>468</v>
      </c>
      <c r="B17" s="12" t="s">
        <v>469</v>
      </c>
      <c r="C17" s="12" t="s">
        <v>470</v>
      </c>
      <c r="D17" s="12" t="s">
        <v>471</v>
      </c>
      <c r="E17" s="12" t="s">
        <v>388</v>
      </c>
      <c r="F17" s="12" t="s">
        <v>472</v>
      </c>
      <c r="G17" s="12" t="s">
        <v>473</v>
      </c>
      <c r="H17" s="12" t="s">
        <v>474</v>
      </c>
      <c r="I17" s="12" t="s">
        <v>475</v>
      </c>
      <c r="J17" s="12" t="s">
        <v>476</v>
      </c>
      <c r="K17" s="12" t="s">
        <v>477</v>
      </c>
      <c r="L17" s="12" t="s">
        <v>435</v>
      </c>
      <c r="M17" s="12">
        <f>COUNTIF('05_C_TE_PR_매핑'!$C$5:$C$500,A17)</f>
        <v>2</v>
      </c>
    </row>
    <row r="18" spans="1:13" s="11" customFormat="1" ht="21.95" customHeight="1">
      <c r="A18" s="12" t="s">
        <v>478</v>
      </c>
      <c r="B18" s="12" t="s">
        <v>479</v>
      </c>
      <c r="C18" s="12" t="s">
        <v>480</v>
      </c>
      <c r="D18" s="12" t="s">
        <v>481</v>
      </c>
      <c r="E18" s="12" t="s">
        <v>388</v>
      </c>
      <c r="F18" s="12" t="s">
        <v>482</v>
      </c>
      <c r="G18" s="12" t="s">
        <v>483</v>
      </c>
      <c r="H18" s="12" t="s">
        <v>484</v>
      </c>
      <c r="I18" s="12" t="s">
        <v>485</v>
      </c>
      <c r="J18" s="12" t="s">
        <v>486</v>
      </c>
      <c r="K18" s="12" t="s">
        <v>487</v>
      </c>
      <c r="L18" s="12" t="s">
        <v>488</v>
      </c>
      <c r="M18" s="12">
        <f>COUNTIF('05_C_TE_PR_매핑'!$C$5:$C$500,A18)</f>
        <v>1</v>
      </c>
    </row>
    <row r="19" spans="1:13" s="11" customFormat="1" ht="21.95" customHeight="1">
      <c r="A19" s="12" t="s">
        <v>489</v>
      </c>
      <c r="B19" s="12" t="s">
        <v>490</v>
      </c>
      <c r="C19" s="12" t="s">
        <v>491</v>
      </c>
      <c r="D19" s="12" t="s">
        <v>492</v>
      </c>
      <c r="E19" s="12" t="s">
        <v>388</v>
      </c>
      <c r="F19" s="12" t="s">
        <v>493</v>
      </c>
      <c r="G19" s="12" t="s">
        <v>494</v>
      </c>
      <c r="H19" s="12" t="s">
        <v>495</v>
      </c>
      <c r="I19" s="12" t="s">
        <v>496</v>
      </c>
      <c r="J19" s="12" t="s">
        <v>497</v>
      </c>
      <c r="K19" s="12" t="s">
        <v>498</v>
      </c>
      <c r="L19" s="12" t="s">
        <v>415</v>
      </c>
      <c r="M19" s="12">
        <f>COUNTIF('05_C_TE_PR_매핑'!$C$5:$C$500,A19)</f>
        <v>1</v>
      </c>
    </row>
    <row r="20" spans="1:13" s="11" customFormat="1" ht="21.95" customHeight="1">
      <c r="A20" s="12" t="s">
        <v>499</v>
      </c>
      <c r="B20" s="12" t="s">
        <v>500</v>
      </c>
      <c r="C20" s="12" t="s">
        <v>501</v>
      </c>
      <c r="D20" s="12" t="s">
        <v>502</v>
      </c>
      <c r="E20" s="12" t="s">
        <v>503</v>
      </c>
      <c r="F20" s="12" t="s">
        <v>504</v>
      </c>
      <c r="G20" s="12" t="s">
        <v>505</v>
      </c>
      <c r="H20" s="12" t="s">
        <v>506</v>
      </c>
      <c r="I20" s="12" t="s">
        <v>507</v>
      </c>
      <c r="J20" s="12" t="s">
        <v>508</v>
      </c>
      <c r="K20" s="12" t="s">
        <v>509</v>
      </c>
      <c r="L20" s="12" t="s">
        <v>510</v>
      </c>
      <c r="M20" s="12">
        <f>COUNTIF('05_C_TE_PR_매핑'!$C$5:$C$500,A20)</f>
        <v>2</v>
      </c>
    </row>
    <row r="21" spans="1:13" s="11" customFormat="1" ht="21.95" customHeight="1">
      <c r="A21" s="12" t="s">
        <v>511</v>
      </c>
      <c r="B21" s="12" t="s">
        <v>512</v>
      </c>
      <c r="C21" s="12" t="s">
        <v>513</v>
      </c>
      <c r="D21" s="12" t="s">
        <v>514</v>
      </c>
      <c r="E21" s="12" t="s">
        <v>388</v>
      </c>
      <c r="F21" s="12" t="s">
        <v>515</v>
      </c>
      <c r="G21" s="12" t="s">
        <v>516</v>
      </c>
      <c r="H21" s="12" t="s">
        <v>517</v>
      </c>
      <c r="I21" s="12" t="s">
        <v>518</v>
      </c>
      <c r="J21" s="12" t="s">
        <v>393</v>
      </c>
      <c r="K21" s="12" t="s">
        <v>519</v>
      </c>
      <c r="L21" s="12" t="s">
        <v>415</v>
      </c>
      <c r="M21" s="12">
        <f>COUNTIF('05_C_TE_PR_매핑'!$C$5:$C$500,A21)</f>
        <v>1</v>
      </c>
    </row>
    <row r="22" spans="1:13" s="11" customFormat="1" ht="21.95" customHeight="1">
      <c r="A22" s="12" t="s">
        <v>520</v>
      </c>
      <c r="B22" s="12" t="s">
        <v>521</v>
      </c>
      <c r="C22" s="12" t="s">
        <v>522</v>
      </c>
      <c r="D22" s="12" t="s">
        <v>523</v>
      </c>
      <c r="E22" s="12" t="s">
        <v>388</v>
      </c>
      <c r="F22" s="12" t="s">
        <v>524</v>
      </c>
      <c r="G22" s="12" t="s">
        <v>525</v>
      </c>
      <c r="H22" s="12" t="s">
        <v>526</v>
      </c>
      <c r="I22" s="12" t="s">
        <v>527</v>
      </c>
      <c r="J22" s="12" t="s">
        <v>528</v>
      </c>
      <c r="K22" s="12" t="s">
        <v>529</v>
      </c>
      <c r="L22" s="12" t="s">
        <v>530</v>
      </c>
      <c r="M22" s="12">
        <f>COUNTIF('05_C_TE_PR_매핑'!$C$5:$C$500,A22)</f>
        <v>1</v>
      </c>
    </row>
    <row r="23" spans="1:13" s="11" customFormat="1" ht="21.95" customHeight="1">
      <c r="A23" s="12" t="s">
        <v>531</v>
      </c>
      <c r="B23" s="12" t="s">
        <v>532</v>
      </c>
      <c r="C23" s="12" t="s">
        <v>533</v>
      </c>
      <c r="D23" s="12" t="s">
        <v>534</v>
      </c>
      <c r="E23" s="12" t="s">
        <v>388</v>
      </c>
      <c r="F23" s="12" t="s">
        <v>535</v>
      </c>
      <c r="G23" s="12" t="s">
        <v>536</v>
      </c>
      <c r="H23" s="12" t="s">
        <v>537</v>
      </c>
      <c r="I23" s="12" t="s">
        <v>538</v>
      </c>
      <c r="J23" s="12" t="s">
        <v>393</v>
      </c>
      <c r="K23" s="12" t="s">
        <v>539</v>
      </c>
      <c r="L23" s="12" t="s">
        <v>540</v>
      </c>
      <c r="M23" s="12">
        <f>COUNTIF('05_C_TE_PR_매핑'!$C$5:$C$500,A23)</f>
        <v>2</v>
      </c>
    </row>
    <row r="24" spans="1:13" s="11" customFormat="1" ht="21.95" customHeight="1">
      <c r="A24" s="12" t="s">
        <v>541</v>
      </c>
      <c r="B24" s="12" t="s">
        <v>542</v>
      </c>
      <c r="C24" s="12" t="s">
        <v>543</v>
      </c>
      <c r="D24" s="12" t="s">
        <v>544</v>
      </c>
      <c r="E24" s="12" t="s">
        <v>545</v>
      </c>
      <c r="F24" s="12" t="s">
        <v>546</v>
      </c>
      <c r="G24" s="12" t="s">
        <v>547</v>
      </c>
      <c r="H24" s="12" t="s">
        <v>548</v>
      </c>
      <c r="I24" s="12" t="s">
        <v>549</v>
      </c>
      <c r="J24" s="12" t="s">
        <v>348</v>
      </c>
      <c r="K24" s="12" t="s">
        <v>550</v>
      </c>
      <c r="L24" s="12" t="s">
        <v>551</v>
      </c>
      <c r="M24" s="12">
        <f>COUNTIF('05_C_TE_PR_매핑'!$C$5:$C$500,A24)</f>
        <v>3</v>
      </c>
    </row>
    <row r="25" spans="1:13" s="11" customFormat="1" ht="21.95" customHeight="1">
      <c r="A25" s="12" t="s">
        <v>552</v>
      </c>
      <c r="B25" s="12" t="s">
        <v>553</v>
      </c>
      <c r="C25" s="12" t="s">
        <v>554</v>
      </c>
      <c r="D25" s="12" t="s">
        <v>555</v>
      </c>
      <c r="E25" s="12" t="s">
        <v>388</v>
      </c>
      <c r="F25" s="12" t="s">
        <v>556</v>
      </c>
      <c r="G25" s="12" t="s">
        <v>557</v>
      </c>
      <c r="H25" s="12" t="s">
        <v>558</v>
      </c>
      <c r="I25" s="12" t="s">
        <v>559</v>
      </c>
      <c r="J25" s="12" t="s">
        <v>560</v>
      </c>
      <c r="K25" s="12" t="s">
        <v>561</v>
      </c>
      <c r="L25" s="12" t="s">
        <v>562</v>
      </c>
      <c r="M25" s="12">
        <f>COUNTIF('05_C_TE_PR_매핑'!$C$5:$C$500,A25)</f>
        <v>1</v>
      </c>
    </row>
    <row r="26" spans="1:13" s="11" customFormat="1" ht="21.95" customHeight="1">
      <c r="A26" s="12" t="s">
        <v>563</v>
      </c>
      <c r="B26" s="12" t="s">
        <v>564</v>
      </c>
      <c r="C26" s="12" t="s">
        <v>565</v>
      </c>
      <c r="D26" s="12" t="s">
        <v>566</v>
      </c>
      <c r="E26" s="12" t="s">
        <v>388</v>
      </c>
      <c r="F26" s="12" t="s">
        <v>567</v>
      </c>
      <c r="G26" s="12" t="s">
        <v>568</v>
      </c>
      <c r="H26" s="12" t="s">
        <v>569</v>
      </c>
      <c r="I26" s="12" t="s">
        <v>570</v>
      </c>
      <c r="J26" s="12" t="s">
        <v>393</v>
      </c>
      <c r="K26" s="12" t="s">
        <v>571</v>
      </c>
      <c r="L26" s="12" t="s">
        <v>572</v>
      </c>
      <c r="M26" s="12">
        <f>COUNTIF('05_C_TE_PR_매핑'!$C$5:$C$500,A26)</f>
        <v>1</v>
      </c>
    </row>
    <row r="27" spans="1:13" s="11" customFormat="1" ht="21.95" customHeight="1">
      <c r="A27" s="12" t="s">
        <v>573</v>
      </c>
      <c r="B27" s="12" t="s">
        <v>574</v>
      </c>
      <c r="C27" s="12" t="s">
        <v>575</v>
      </c>
      <c r="D27" s="12" t="s">
        <v>576</v>
      </c>
      <c r="E27" s="12" t="s">
        <v>388</v>
      </c>
      <c r="F27" s="12" t="s">
        <v>577</v>
      </c>
      <c r="G27" s="12" t="s">
        <v>578</v>
      </c>
      <c r="H27" s="12" t="s">
        <v>579</v>
      </c>
      <c r="I27" s="12" t="s">
        <v>580</v>
      </c>
      <c r="J27" s="12" t="s">
        <v>497</v>
      </c>
      <c r="K27" s="12" t="s">
        <v>581</v>
      </c>
      <c r="L27" s="12" t="s">
        <v>582</v>
      </c>
      <c r="M27" s="12">
        <f>COUNTIF('05_C_TE_PR_매핑'!$C$5:$C$500,A27)</f>
        <v>2</v>
      </c>
    </row>
    <row r="28" spans="1:13" s="11" customFormat="1" ht="21.95" customHeight="1">
      <c r="A28" s="12" t="s">
        <v>583</v>
      </c>
      <c r="B28" s="12" t="s">
        <v>584</v>
      </c>
      <c r="C28" s="12" t="s">
        <v>585</v>
      </c>
      <c r="D28" s="12" t="s">
        <v>586</v>
      </c>
      <c r="E28" s="12" t="s">
        <v>587</v>
      </c>
      <c r="F28" s="12" t="s">
        <v>588</v>
      </c>
      <c r="G28" s="12" t="s">
        <v>589</v>
      </c>
      <c r="H28" s="12" t="s">
        <v>590</v>
      </c>
      <c r="I28" s="12" t="s">
        <v>591</v>
      </c>
      <c r="J28" s="12" t="s">
        <v>592</v>
      </c>
      <c r="K28" s="12" t="s">
        <v>593</v>
      </c>
      <c r="L28" s="12" t="s">
        <v>582</v>
      </c>
      <c r="M28" s="12">
        <f>COUNTIF('05_C_TE_PR_매핑'!$C$5:$C$500,A28)</f>
        <v>1</v>
      </c>
    </row>
    <row r="29" spans="1:13" s="11" customFormat="1" ht="21.95" customHeight="1">
      <c r="A29" s="12" t="s">
        <v>594</v>
      </c>
      <c r="B29" s="12" t="s">
        <v>595</v>
      </c>
      <c r="C29" s="12" t="s">
        <v>596</v>
      </c>
      <c r="D29" s="12" t="s">
        <v>597</v>
      </c>
      <c r="E29" s="12" t="s">
        <v>388</v>
      </c>
      <c r="F29" s="12" t="s">
        <v>598</v>
      </c>
      <c r="G29" s="12" t="s">
        <v>599</v>
      </c>
      <c r="H29" s="12" t="s">
        <v>600</v>
      </c>
      <c r="I29" s="12" t="s">
        <v>601</v>
      </c>
      <c r="J29" s="12" t="s">
        <v>602</v>
      </c>
      <c r="K29" s="12" t="s">
        <v>603</v>
      </c>
      <c r="L29" s="12" t="s">
        <v>604</v>
      </c>
      <c r="M29" s="12">
        <f>COUNTIF('05_C_TE_PR_매핑'!$C$5:$C$500,A29)</f>
        <v>2</v>
      </c>
    </row>
    <row r="30" spans="1:13" s="11" customFormat="1" ht="21.95" customHeight="1">
      <c r="A30" s="12" t="s">
        <v>605</v>
      </c>
      <c r="B30" s="12" t="s">
        <v>606</v>
      </c>
      <c r="C30" s="12" t="s">
        <v>607</v>
      </c>
      <c r="D30" s="12" t="s">
        <v>608</v>
      </c>
      <c r="E30" s="12" t="s">
        <v>388</v>
      </c>
      <c r="F30" s="12" t="s">
        <v>609</v>
      </c>
      <c r="G30" s="12" t="s">
        <v>610</v>
      </c>
      <c r="H30" s="12" t="s">
        <v>611</v>
      </c>
      <c r="I30" s="12" t="s">
        <v>612</v>
      </c>
      <c r="J30" s="12" t="s">
        <v>393</v>
      </c>
      <c r="K30" s="12" t="s">
        <v>613</v>
      </c>
      <c r="L30" s="12" t="s">
        <v>614</v>
      </c>
      <c r="M30" s="12">
        <f>COUNTIF('05_C_TE_PR_매핑'!$C$5:$C$500,A30)</f>
        <v>1</v>
      </c>
    </row>
    <row r="31" spans="1:13" s="11" customFormat="1" ht="21.95" customHeight="1">
      <c r="A31" s="12" t="s">
        <v>615</v>
      </c>
      <c r="B31" s="12" t="s">
        <v>616</v>
      </c>
      <c r="C31" s="12" t="s">
        <v>617</v>
      </c>
      <c r="D31" s="12" t="s">
        <v>618</v>
      </c>
      <c r="E31" s="12" t="s">
        <v>388</v>
      </c>
      <c r="F31" s="12" t="s">
        <v>619</v>
      </c>
      <c r="G31" s="12" t="s">
        <v>620</v>
      </c>
      <c r="H31" s="12" t="s">
        <v>621</v>
      </c>
      <c r="I31" s="12" t="s">
        <v>622</v>
      </c>
      <c r="J31" s="12" t="s">
        <v>393</v>
      </c>
      <c r="K31" s="12" t="s">
        <v>623</v>
      </c>
      <c r="L31" s="12" t="s">
        <v>383</v>
      </c>
      <c r="M31" s="12">
        <f>COUNTIF('05_C_TE_PR_매핑'!$C$5:$C$500,A31)</f>
        <v>1</v>
      </c>
    </row>
    <row r="32" spans="1:13" s="11" customFormat="1" ht="21.95" customHeight="1">
      <c r="A32" s="12" t="s">
        <v>624</v>
      </c>
      <c r="B32" s="12" t="s">
        <v>625</v>
      </c>
      <c r="C32" s="12" t="s">
        <v>626</v>
      </c>
      <c r="D32" s="12" t="s">
        <v>627</v>
      </c>
      <c r="E32" s="12" t="s">
        <v>388</v>
      </c>
      <c r="F32" s="12" t="s">
        <v>628</v>
      </c>
      <c r="G32" s="12" t="s">
        <v>629</v>
      </c>
      <c r="H32" s="12" t="s">
        <v>630</v>
      </c>
      <c r="I32" s="12" t="s">
        <v>631</v>
      </c>
      <c r="J32" s="12" t="s">
        <v>632</v>
      </c>
      <c r="K32" s="12" t="s">
        <v>633</v>
      </c>
      <c r="L32" s="12" t="s">
        <v>634</v>
      </c>
      <c r="M32" s="12">
        <f>COUNTIF('05_C_TE_PR_매핑'!$C$5:$C$500,A32)</f>
        <v>1</v>
      </c>
    </row>
    <row r="33" spans="1:13" s="11" customFormat="1" ht="21.95" customHeight="1">
      <c r="A33" s="12" t="s">
        <v>635</v>
      </c>
      <c r="B33" s="12" t="s">
        <v>636</v>
      </c>
      <c r="C33" s="12" t="s">
        <v>637</v>
      </c>
      <c r="D33" s="12" t="s">
        <v>638</v>
      </c>
      <c r="E33" s="12" t="s">
        <v>639</v>
      </c>
      <c r="F33" s="12" t="s">
        <v>640</v>
      </c>
      <c r="G33" s="12" t="s">
        <v>641</v>
      </c>
      <c r="H33" s="12" t="s">
        <v>642</v>
      </c>
      <c r="I33" s="12" t="s">
        <v>643</v>
      </c>
      <c r="J33" s="12" t="s">
        <v>644</v>
      </c>
      <c r="K33" s="12" t="s">
        <v>645</v>
      </c>
      <c r="L33" s="12" t="s">
        <v>646</v>
      </c>
      <c r="M33" s="12">
        <f>COUNTIF('05_C_TE_PR_매핑'!$C$5:$C$500,A33)</f>
        <v>1</v>
      </c>
    </row>
    <row r="34" spans="1:13" s="11" customFormat="1" ht="21.95" customHeight="1">
      <c r="A34" s="12" t="s">
        <v>647</v>
      </c>
      <c r="B34" s="12" t="s">
        <v>648</v>
      </c>
      <c r="C34" s="12" t="s">
        <v>649</v>
      </c>
      <c r="D34" s="12" t="s">
        <v>650</v>
      </c>
      <c r="E34" s="12" t="s">
        <v>388</v>
      </c>
      <c r="F34" s="12" t="s">
        <v>651</v>
      </c>
      <c r="G34" s="12" t="s">
        <v>652</v>
      </c>
      <c r="H34" s="12" t="s">
        <v>653</v>
      </c>
      <c r="I34" s="12" t="s">
        <v>654</v>
      </c>
      <c r="J34" s="12" t="s">
        <v>655</v>
      </c>
      <c r="K34" s="12" t="s">
        <v>656</v>
      </c>
      <c r="L34" s="12" t="s">
        <v>446</v>
      </c>
      <c r="M34" s="12">
        <f>COUNTIF('05_C_TE_PR_매핑'!$C$5:$C$500,A34)</f>
        <v>1</v>
      </c>
    </row>
    <row r="35" spans="1:13" s="11" customFormat="1" ht="21.95" customHeight="1">
      <c r="A35" s="12" t="s">
        <v>657</v>
      </c>
      <c r="B35" s="12" t="s">
        <v>658</v>
      </c>
      <c r="C35" s="12" t="s">
        <v>659</v>
      </c>
      <c r="D35" s="12" t="s">
        <v>660</v>
      </c>
      <c r="E35" s="12" t="s">
        <v>661</v>
      </c>
      <c r="F35" s="12" t="s">
        <v>662</v>
      </c>
      <c r="G35" s="12" t="s">
        <v>663</v>
      </c>
      <c r="H35" s="12" t="s">
        <v>664</v>
      </c>
      <c r="I35" s="12" t="s">
        <v>665</v>
      </c>
      <c r="J35" s="12" t="s">
        <v>666</v>
      </c>
      <c r="K35" s="12" t="s">
        <v>667</v>
      </c>
      <c r="L35" s="12" t="s">
        <v>668</v>
      </c>
      <c r="M35" s="12">
        <f>COUNTIF('05_C_TE_PR_매핑'!$C$5:$C$500,A35)</f>
        <v>1</v>
      </c>
    </row>
    <row r="36" spans="1:13" s="11" customFormat="1" ht="21.95" customHeight="1">
      <c r="A36" s="12" t="s">
        <v>669</v>
      </c>
      <c r="B36" s="12" t="s">
        <v>670</v>
      </c>
      <c r="C36" s="12" t="s">
        <v>671</v>
      </c>
      <c r="D36" s="12" t="s">
        <v>672</v>
      </c>
      <c r="E36" s="12" t="s">
        <v>503</v>
      </c>
      <c r="F36" s="12" t="s">
        <v>673</v>
      </c>
      <c r="G36" s="12" t="s">
        <v>674</v>
      </c>
      <c r="H36" s="12" t="s">
        <v>675</v>
      </c>
      <c r="I36" s="12" t="s">
        <v>676</v>
      </c>
      <c r="J36" s="12" t="s">
        <v>677</v>
      </c>
      <c r="K36" s="12" t="s">
        <v>678</v>
      </c>
      <c r="L36" s="12" t="s">
        <v>405</v>
      </c>
      <c r="M36" s="12">
        <f>COUNTIF('05_C_TE_PR_매핑'!$C$5:$C$500,A36)</f>
        <v>1</v>
      </c>
    </row>
    <row r="37" spans="1:13" s="11" customFormat="1" ht="21.95" customHeight="1">
      <c r="A37" s="12" t="s">
        <v>679</v>
      </c>
      <c r="B37" s="12" t="s">
        <v>680</v>
      </c>
      <c r="C37" s="12" t="s">
        <v>681</v>
      </c>
      <c r="D37" s="12" t="s">
        <v>682</v>
      </c>
      <c r="E37" s="12" t="s">
        <v>683</v>
      </c>
      <c r="F37" s="12" t="s">
        <v>684</v>
      </c>
      <c r="G37" s="12" t="s">
        <v>685</v>
      </c>
      <c r="H37" s="12" t="s">
        <v>686</v>
      </c>
      <c r="I37" s="12" t="s">
        <v>687</v>
      </c>
      <c r="J37" s="12" t="s">
        <v>348</v>
      </c>
      <c r="K37" s="12" t="s">
        <v>688</v>
      </c>
      <c r="L37" s="12" t="s">
        <v>689</v>
      </c>
      <c r="M37" s="12">
        <f>COUNTIF('05_C_TE_PR_매핑'!$C$5:$C$500,A37)</f>
        <v>1</v>
      </c>
    </row>
    <row r="38" spans="1:13" s="11" customFormat="1" ht="21.95" customHeight="1">
      <c r="A38" s="12" t="s">
        <v>690</v>
      </c>
      <c r="B38" s="12" t="s">
        <v>691</v>
      </c>
      <c r="C38" s="12" t="s">
        <v>692</v>
      </c>
      <c r="D38" s="12" t="s">
        <v>693</v>
      </c>
      <c r="E38" s="12" t="s">
        <v>503</v>
      </c>
      <c r="F38" s="12" t="s">
        <v>694</v>
      </c>
      <c r="G38" s="12" t="s">
        <v>695</v>
      </c>
      <c r="H38" s="12" t="s">
        <v>696</v>
      </c>
      <c r="I38" s="12" t="s">
        <v>697</v>
      </c>
      <c r="J38" s="12" t="s">
        <v>348</v>
      </c>
      <c r="K38" s="12" t="s">
        <v>698</v>
      </c>
      <c r="L38" s="12" t="s">
        <v>383</v>
      </c>
      <c r="M38" s="12">
        <f>COUNTIF('05_C_TE_PR_매핑'!$C$5:$C$500,A38)</f>
        <v>2</v>
      </c>
    </row>
    <row r="39" spans="1:13" s="11" customFormat="1" ht="21.95" customHeight="1">
      <c r="A39" s="12" t="s">
        <v>699</v>
      </c>
      <c r="B39" s="12" t="s">
        <v>700</v>
      </c>
      <c r="C39" s="12" t="s">
        <v>701</v>
      </c>
      <c r="D39" s="12" t="s">
        <v>702</v>
      </c>
      <c r="E39" s="12" t="s">
        <v>703</v>
      </c>
      <c r="F39" s="12" t="s">
        <v>704</v>
      </c>
      <c r="G39" s="12" t="s">
        <v>705</v>
      </c>
      <c r="H39" s="12" t="s">
        <v>706</v>
      </c>
      <c r="I39" s="12" t="s">
        <v>707</v>
      </c>
      <c r="J39" s="12" t="s">
        <v>708</v>
      </c>
      <c r="K39" s="12" t="s">
        <v>709</v>
      </c>
      <c r="L39" s="12" t="s">
        <v>710</v>
      </c>
      <c r="M39" s="12">
        <f>COUNTIF('05_C_TE_PR_매핑'!$C$5:$C$500,A39)</f>
        <v>1</v>
      </c>
    </row>
    <row r="40" spans="1:13" s="11" customFormat="1" ht="21.95" customHeight="1">
      <c r="A40" s="12" t="s">
        <v>711</v>
      </c>
      <c r="B40" s="12" t="s">
        <v>712</v>
      </c>
      <c r="C40" s="12" t="s">
        <v>713</v>
      </c>
      <c r="D40" s="12" t="s">
        <v>714</v>
      </c>
      <c r="E40" s="12" t="s">
        <v>715</v>
      </c>
      <c r="F40" s="12" t="s">
        <v>716</v>
      </c>
      <c r="G40" s="12" t="s">
        <v>717</v>
      </c>
      <c r="H40" s="12" t="s">
        <v>718</v>
      </c>
      <c r="I40" s="12" t="s">
        <v>719</v>
      </c>
      <c r="J40" s="12" t="s">
        <v>720</v>
      </c>
      <c r="K40" s="12" t="s">
        <v>721</v>
      </c>
      <c r="L40" s="12" t="s">
        <v>722</v>
      </c>
      <c r="M40" s="12">
        <f>COUNTIF('05_C_TE_PR_매핑'!$C$5:$C$500,A40)</f>
        <v>1</v>
      </c>
    </row>
    <row r="41" spans="1:13" s="11" customFormat="1" ht="21.95" customHeight="1">
      <c r="A41" s="12" t="s">
        <v>723</v>
      </c>
      <c r="B41" s="12" t="s">
        <v>724</v>
      </c>
      <c r="C41" s="12" t="s">
        <v>725</v>
      </c>
      <c r="D41" s="12" t="s">
        <v>726</v>
      </c>
      <c r="E41" s="12" t="s">
        <v>388</v>
      </c>
      <c r="F41" s="12" t="s">
        <v>727</v>
      </c>
      <c r="G41" s="12" t="s">
        <v>728</v>
      </c>
      <c r="H41" s="12" t="s">
        <v>729</v>
      </c>
      <c r="I41" s="12" t="s">
        <v>730</v>
      </c>
      <c r="J41" s="12" t="s">
        <v>731</v>
      </c>
      <c r="K41" s="12" t="s">
        <v>732</v>
      </c>
      <c r="L41" s="12" t="s">
        <v>722</v>
      </c>
      <c r="M41" s="12">
        <f>COUNTIF('05_C_TE_PR_매핑'!$C$5:$C$500,A41)</f>
        <v>1</v>
      </c>
    </row>
    <row r="42" spans="1:13" s="11" customFormat="1" ht="21.95" customHeight="1">
      <c r="A42" s="12" t="s">
        <v>733</v>
      </c>
      <c r="B42" s="12" t="s">
        <v>734</v>
      </c>
      <c r="C42" s="12" t="s">
        <v>313</v>
      </c>
      <c r="D42" s="12" t="s">
        <v>735</v>
      </c>
      <c r="E42" s="12" t="s">
        <v>736</v>
      </c>
      <c r="F42" s="12" t="s">
        <v>737</v>
      </c>
      <c r="G42" s="12" t="s">
        <v>738</v>
      </c>
      <c r="H42" s="12" t="s">
        <v>739</v>
      </c>
      <c r="I42" s="12" t="s">
        <v>740</v>
      </c>
      <c r="J42" s="12" t="s">
        <v>465</v>
      </c>
      <c r="K42" s="12" t="s">
        <v>741</v>
      </c>
      <c r="L42" s="12" t="s">
        <v>722</v>
      </c>
      <c r="M42" s="12">
        <f>COUNTIF('05_C_TE_PR_매핑'!$C$5:$C$500,A42)</f>
        <v>1</v>
      </c>
    </row>
    <row r="43" spans="1:13" s="11" customFormat="1" ht="21.95" customHeight="1">
      <c r="A43" s="12" t="s">
        <v>742</v>
      </c>
      <c r="B43" s="12" t="s">
        <v>743</v>
      </c>
      <c r="C43" s="12" t="s">
        <v>744</v>
      </c>
      <c r="D43" s="12" t="s">
        <v>745</v>
      </c>
      <c r="E43" s="12" t="s">
        <v>746</v>
      </c>
      <c r="F43" s="12" t="s">
        <v>747</v>
      </c>
      <c r="G43" s="12" t="s">
        <v>748</v>
      </c>
      <c r="H43" s="12" t="s">
        <v>749</v>
      </c>
      <c r="I43" s="12" t="s">
        <v>750</v>
      </c>
      <c r="J43" s="12" t="s">
        <v>348</v>
      </c>
      <c r="K43" s="12" t="s">
        <v>751</v>
      </c>
      <c r="L43" s="12" t="s">
        <v>752</v>
      </c>
      <c r="M43" s="12">
        <f>COUNTIF('05_C_TE_PR_매핑'!$C$5:$C$500,A43)</f>
        <v>1</v>
      </c>
    </row>
    <row r="44" spans="1:13" s="11" customFormat="1" ht="21.95" customHeight="1">
      <c r="A44" s="12" t="s">
        <v>753</v>
      </c>
      <c r="B44" s="12" t="s">
        <v>754</v>
      </c>
      <c r="C44" s="12" t="s">
        <v>755</v>
      </c>
      <c r="D44" s="12" t="s">
        <v>756</v>
      </c>
      <c r="E44" s="12" t="s">
        <v>746</v>
      </c>
      <c r="F44" s="12" t="s">
        <v>757</v>
      </c>
      <c r="G44" s="12" t="s">
        <v>758</v>
      </c>
      <c r="H44" s="12" t="s">
        <v>759</v>
      </c>
      <c r="I44" s="12" t="s">
        <v>760</v>
      </c>
      <c r="J44" s="12" t="s">
        <v>348</v>
      </c>
      <c r="K44" s="12" t="s">
        <v>761</v>
      </c>
      <c r="L44" s="12" t="s">
        <v>722</v>
      </c>
      <c r="M44" s="12">
        <f>COUNTIF('05_C_TE_PR_매핑'!$C$5:$C$500,A44)</f>
        <v>2</v>
      </c>
    </row>
    <row r="45" spans="1:13" s="11" customFormat="1" ht="21.95" customHeight="1">
      <c r="A45" s="13" t="s">
        <v>762</v>
      </c>
      <c r="B45" s="13" t="s">
        <v>763</v>
      </c>
      <c r="C45" s="13" t="s">
        <v>764</v>
      </c>
      <c r="D45" s="13" t="s">
        <v>765</v>
      </c>
      <c r="E45" s="13" t="s">
        <v>766</v>
      </c>
      <c r="F45" s="13" t="s">
        <v>767</v>
      </c>
      <c r="G45" s="13" t="s">
        <v>768</v>
      </c>
      <c r="H45" s="13" t="s">
        <v>769</v>
      </c>
      <c r="I45" s="13" t="s">
        <v>770</v>
      </c>
      <c r="J45" s="13" t="s">
        <v>708</v>
      </c>
      <c r="K45" s="13" t="s">
        <v>771</v>
      </c>
      <c r="L45" s="13" t="s">
        <v>722</v>
      </c>
      <c r="M45" s="13">
        <f>COUNTIF('05_C_TE_PR_매핑'!$C$5:$C$500,A45)</f>
        <v>2</v>
      </c>
    </row>
  </sheetData>
  <mergeCells count="2">
    <mergeCell ref="A1:M1"/>
    <mergeCell ref="A2:M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7"/>
  <sheetViews>
    <sheetView showGridLines="0" topLeftCell="A2" zoomScale="85" zoomScaleNormal="85" workbookViewId="0">
      <selection activeCell="G3" sqref="G1:G1048576"/>
    </sheetView>
  </sheetViews>
  <sheetFormatPr defaultRowHeight="14.25"/>
  <cols>
    <col min="1" max="3" width="22" customWidth="1"/>
    <col min="4" max="4" width="18" customWidth="1"/>
    <col min="5" max="5" width="72" customWidth="1"/>
    <col min="6" max="6" width="48" customWidth="1"/>
  </cols>
  <sheetData>
    <row r="1" spans="1:6" ht="30" customHeight="1">
      <c r="A1" s="15" t="s">
        <v>772</v>
      </c>
      <c r="B1" s="15"/>
      <c r="C1" s="15"/>
      <c r="D1" s="15"/>
      <c r="E1" s="15"/>
      <c r="F1" s="15"/>
    </row>
    <row r="2" spans="1:6" ht="39.950000000000003" customHeight="1">
      <c r="A2" s="17" t="s">
        <v>1528</v>
      </c>
      <c r="B2" s="17"/>
      <c r="C2" s="17"/>
      <c r="D2" s="17"/>
      <c r="E2" s="17"/>
      <c r="F2" s="17"/>
    </row>
    <row r="3" spans="1:6">
      <c r="A3" s="1"/>
      <c r="B3" s="1"/>
      <c r="C3" s="1"/>
      <c r="D3" s="1"/>
      <c r="E3" s="1"/>
      <c r="F3" s="1"/>
    </row>
    <row r="4" spans="1:6" ht="36" customHeight="1">
      <c r="A4" s="2" t="s">
        <v>773</v>
      </c>
      <c r="B4" s="5" t="s">
        <v>13</v>
      </c>
      <c r="C4" s="5" t="s">
        <v>82</v>
      </c>
      <c r="D4" s="5" t="s">
        <v>774</v>
      </c>
      <c r="E4" s="5" t="s">
        <v>775</v>
      </c>
      <c r="F4" s="5" t="s">
        <v>776</v>
      </c>
    </row>
    <row r="5" spans="1:6" s="11" customFormat="1" ht="21.95" customHeight="1">
      <c r="A5" s="10" t="s">
        <v>4</v>
      </c>
      <c r="B5" s="10" t="s">
        <v>69</v>
      </c>
      <c r="C5" s="10" t="s">
        <v>2</v>
      </c>
      <c r="D5" s="10" t="s">
        <v>777</v>
      </c>
      <c r="E5" s="10" t="s">
        <v>778</v>
      </c>
      <c r="F5" s="10" t="str">
        <f t="shared" ref="F5:F36" si="0">B5&amp;"|"&amp;C5</f>
        <v>XR-C-TA0014|XR-C-TE0001</v>
      </c>
    </row>
    <row r="6" spans="1:6" s="11" customFormat="1" ht="21.95" customHeight="1">
      <c r="A6" s="12" t="s">
        <v>779</v>
      </c>
      <c r="B6" s="12" t="s">
        <v>73</v>
      </c>
      <c r="C6" s="12" t="s">
        <v>2</v>
      </c>
      <c r="D6" s="12" t="s">
        <v>777</v>
      </c>
      <c r="E6" s="12" t="s">
        <v>780</v>
      </c>
      <c r="F6" s="12" t="str">
        <f t="shared" si="0"/>
        <v>XR-C-TA0015|XR-C-TE0001</v>
      </c>
    </row>
    <row r="7" spans="1:6" s="11" customFormat="1" ht="21.95" customHeight="1">
      <c r="A7" s="12" t="s">
        <v>781</v>
      </c>
      <c r="B7" s="12" t="s">
        <v>21</v>
      </c>
      <c r="C7" s="12" t="s">
        <v>95</v>
      </c>
      <c r="D7" s="12" t="s">
        <v>777</v>
      </c>
      <c r="E7" s="12" t="s">
        <v>782</v>
      </c>
      <c r="F7" s="12" t="str">
        <f t="shared" si="0"/>
        <v>XR-C-TA0002|XR-C-TE0002</v>
      </c>
    </row>
    <row r="8" spans="1:6" s="11" customFormat="1" ht="21.95" customHeight="1">
      <c r="A8" s="12" t="s">
        <v>783</v>
      </c>
      <c r="B8" s="12" t="s">
        <v>1</v>
      </c>
      <c r="C8" s="12" t="s">
        <v>102</v>
      </c>
      <c r="D8" s="12" t="s">
        <v>777</v>
      </c>
      <c r="E8" s="12" t="s">
        <v>784</v>
      </c>
      <c r="F8" s="12" t="str">
        <f t="shared" si="0"/>
        <v>XR-C-TA0001|XR-C-TE0003</v>
      </c>
    </row>
    <row r="9" spans="1:6" s="11" customFormat="1" ht="21.95" customHeight="1">
      <c r="A9" s="12" t="s">
        <v>785</v>
      </c>
      <c r="B9" s="12" t="s">
        <v>29</v>
      </c>
      <c r="C9" s="12" t="s">
        <v>102</v>
      </c>
      <c r="D9" s="12" t="s">
        <v>777</v>
      </c>
      <c r="E9" s="12" t="s">
        <v>786</v>
      </c>
      <c r="F9" s="12" t="str">
        <f t="shared" si="0"/>
        <v>XR-C-TA0004|XR-C-TE0003</v>
      </c>
    </row>
    <row r="10" spans="1:6" s="11" customFormat="1" ht="21.95" customHeight="1">
      <c r="A10" s="12" t="s">
        <v>787</v>
      </c>
      <c r="B10" s="12" t="s">
        <v>33</v>
      </c>
      <c r="C10" s="12" t="s">
        <v>102</v>
      </c>
      <c r="D10" s="12" t="s">
        <v>777</v>
      </c>
      <c r="E10" s="12" t="s">
        <v>788</v>
      </c>
      <c r="F10" s="12" t="str">
        <f t="shared" si="0"/>
        <v>XR-C-TA0005|XR-C-TE0003</v>
      </c>
    </row>
    <row r="11" spans="1:6" s="11" customFormat="1" ht="21.95" customHeight="1">
      <c r="A11" s="12" t="s">
        <v>789</v>
      </c>
      <c r="B11" s="12" t="s">
        <v>1</v>
      </c>
      <c r="C11" s="12" t="s">
        <v>109</v>
      </c>
      <c r="D11" s="12" t="s">
        <v>777</v>
      </c>
      <c r="E11" s="12" t="s">
        <v>790</v>
      </c>
      <c r="F11" s="12" t="str">
        <f t="shared" si="0"/>
        <v>XR-C-TA0001|XR-C-TE0004</v>
      </c>
    </row>
    <row r="12" spans="1:6" s="11" customFormat="1" ht="21.95" customHeight="1">
      <c r="A12" s="12" t="s">
        <v>791</v>
      </c>
      <c r="B12" s="12" t="s">
        <v>25</v>
      </c>
      <c r="C12" s="12" t="s">
        <v>109</v>
      </c>
      <c r="D12" s="12" t="s">
        <v>777</v>
      </c>
      <c r="E12" s="12" t="s">
        <v>792</v>
      </c>
      <c r="F12" s="12" t="str">
        <f t="shared" si="0"/>
        <v>XR-C-TA0003|XR-C-TE0004</v>
      </c>
    </row>
    <row r="13" spans="1:6" s="11" customFormat="1" ht="21.95" customHeight="1">
      <c r="A13" s="12" t="s">
        <v>793</v>
      </c>
      <c r="B13" s="12" t="s">
        <v>29</v>
      </c>
      <c r="C13" s="12" t="s">
        <v>109</v>
      </c>
      <c r="D13" s="12" t="s">
        <v>777</v>
      </c>
      <c r="E13" s="12" t="s">
        <v>794</v>
      </c>
      <c r="F13" s="12" t="str">
        <f t="shared" si="0"/>
        <v>XR-C-TA0004|XR-C-TE0004</v>
      </c>
    </row>
    <row r="14" spans="1:6" s="11" customFormat="1" ht="21.95" customHeight="1">
      <c r="A14" s="12" t="s">
        <v>795</v>
      </c>
      <c r="B14" s="12" t="s">
        <v>21</v>
      </c>
      <c r="C14" s="12" t="s">
        <v>116</v>
      </c>
      <c r="D14" s="12" t="s">
        <v>777</v>
      </c>
      <c r="E14" s="12" t="s">
        <v>796</v>
      </c>
      <c r="F14" s="12" t="str">
        <f t="shared" si="0"/>
        <v>XR-C-TA0002|XR-C-TE0005</v>
      </c>
    </row>
    <row r="15" spans="1:6" s="11" customFormat="1" ht="21.95" customHeight="1">
      <c r="A15" s="12" t="s">
        <v>797</v>
      </c>
      <c r="B15" s="12" t="s">
        <v>29</v>
      </c>
      <c r="C15" s="12" t="s">
        <v>116</v>
      </c>
      <c r="D15" s="12" t="s">
        <v>777</v>
      </c>
      <c r="E15" s="12" t="s">
        <v>798</v>
      </c>
      <c r="F15" s="12" t="str">
        <f t="shared" si="0"/>
        <v>XR-C-TA0004|XR-C-TE0005</v>
      </c>
    </row>
    <row r="16" spans="1:6" s="11" customFormat="1" ht="21.95" customHeight="1">
      <c r="A16" s="12" t="s">
        <v>799</v>
      </c>
      <c r="B16" s="12" t="s">
        <v>21</v>
      </c>
      <c r="C16" s="12" t="s">
        <v>122</v>
      </c>
      <c r="D16" s="12" t="s">
        <v>777</v>
      </c>
      <c r="E16" s="12" t="s">
        <v>800</v>
      </c>
      <c r="F16" s="12" t="str">
        <f t="shared" si="0"/>
        <v>XR-C-TA0002|XR-C-TE0006</v>
      </c>
    </row>
    <row r="17" spans="1:6" s="11" customFormat="1" ht="21.95" customHeight="1">
      <c r="A17" s="12" t="s">
        <v>801</v>
      </c>
      <c r="B17" s="12" t="s">
        <v>29</v>
      </c>
      <c r="C17" s="12" t="s">
        <v>122</v>
      </c>
      <c r="D17" s="12" t="s">
        <v>777</v>
      </c>
      <c r="E17" s="12" t="s">
        <v>802</v>
      </c>
      <c r="F17" s="12" t="str">
        <f t="shared" si="0"/>
        <v>XR-C-TA0004|XR-C-TE0006</v>
      </c>
    </row>
    <row r="18" spans="1:6" s="11" customFormat="1" ht="21.95" customHeight="1">
      <c r="A18" s="12" t="s">
        <v>803</v>
      </c>
      <c r="B18" s="12" t="s">
        <v>21</v>
      </c>
      <c r="C18" s="12" t="s">
        <v>128</v>
      </c>
      <c r="D18" s="12" t="s">
        <v>777</v>
      </c>
      <c r="E18" s="12" t="s">
        <v>804</v>
      </c>
      <c r="F18" s="12" t="str">
        <f t="shared" si="0"/>
        <v>XR-C-TA0002|XR-C-TE0007</v>
      </c>
    </row>
    <row r="19" spans="1:6" s="11" customFormat="1" ht="21.95" customHeight="1">
      <c r="A19" s="12" t="s">
        <v>805</v>
      </c>
      <c r="B19" s="12" t="s">
        <v>29</v>
      </c>
      <c r="C19" s="12" t="s">
        <v>128</v>
      </c>
      <c r="D19" s="12" t="s">
        <v>777</v>
      </c>
      <c r="E19" s="12" t="s">
        <v>806</v>
      </c>
      <c r="F19" s="12" t="str">
        <f t="shared" si="0"/>
        <v>XR-C-TA0004|XR-C-TE0007</v>
      </c>
    </row>
    <row r="20" spans="1:6" s="11" customFormat="1" ht="21.95" customHeight="1">
      <c r="A20" s="12" t="s">
        <v>807</v>
      </c>
      <c r="B20" s="12" t="s">
        <v>41</v>
      </c>
      <c r="C20" s="12" t="s">
        <v>128</v>
      </c>
      <c r="D20" s="12" t="s">
        <v>777</v>
      </c>
      <c r="E20" s="12" t="s">
        <v>808</v>
      </c>
      <c r="F20" s="12" t="str">
        <f t="shared" si="0"/>
        <v>XR-C-TA0007|XR-C-TE0007</v>
      </c>
    </row>
    <row r="21" spans="1:6" s="11" customFormat="1" ht="21.95" customHeight="1">
      <c r="A21" s="12" t="s">
        <v>809</v>
      </c>
      <c r="B21" s="12" t="s">
        <v>25</v>
      </c>
      <c r="C21" s="12" t="s">
        <v>134</v>
      </c>
      <c r="D21" s="12" t="s">
        <v>777</v>
      </c>
      <c r="E21" s="12" t="s">
        <v>810</v>
      </c>
      <c r="F21" s="12" t="str">
        <f t="shared" si="0"/>
        <v>XR-C-TA0003|XR-C-TE0008</v>
      </c>
    </row>
    <row r="22" spans="1:6" s="11" customFormat="1" ht="21.95" customHeight="1">
      <c r="A22" s="12" t="s">
        <v>811</v>
      </c>
      <c r="B22" s="12" t="s">
        <v>29</v>
      </c>
      <c r="C22" s="12" t="s">
        <v>134</v>
      </c>
      <c r="D22" s="12" t="s">
        <v>777</v>
      </c>
      <c r="E22" s="12" t="s">
        <v>812</v>
      </c>
      <c r="F22" s="12" t="str">
        <f t="shared" si="0"/>
        <v>XR-C-TA0004|XR-C-TE0008</v>
      </c>
    </row>
    <row r="23" spans="1:6" s="11" customFormat="1" ht="21.95" customHeight="1">
      <c r="A23" s="12" t="s">
        <v>813</v>
      </c>
      <c r="B23" s="12" t="s">
        <v>25</v>
      </c>
      <c r="C23" s="12" t="s">
        <v>141</v>
      </c>
      <c r="D23" s="12" t="s">
        <v>777</v>
      </c>
      <c r="E23" s="12" t="s">
        <v>814</v>
      </c>
      <c r="F23" s="12" t="str">
        <f t="shared" si="0"/>
        <v>XR-C-TA0003|XR-C-TE0009</v>
      </c>
    </row>
    <row r="24" spans="1:6" s="11" customFormat="1" ht="21.95" customHeight="1">
      <c r="A24" s="12" t="s">
        <v>815</v>
      </c>
      <c r="B24" s="12" t="s">
        <v>29</v>
      </c>
      <c r="C24" s="12" t="s">
        <v>141</v>
      </c>
      <c r="D24" s="12" t="s">
        <v>777</v>
      </c>
      <c r="E24" s="12" t="s">
        <v>816</v>
      </c>
      <c r="F24" s="12" t="str">
        <f t="shared" si="0"/>
        <v>XR-C-TA0004|XR-C-TE0009</v>
      </c>
    </row>
    <row r="25" spans="1:6" s="11" customFormat="1" ht="21.95" customHeight="1">
      <c r="A25" s="12" t="s">
        <v>817</v>
      </c>
      <c r="B25" s="12" t="s">
        <v>49</v>
      </c>
      <c r="C25" s="12" t="s">
        <v>141</v>
      </c>
      <c r="D25" s="12" t="s">
        <v>777</v>
      </c>
      <c r="E25" s="12" t="s">
        <v>818</v>
      </c>
      <c r="F25" s="12" t="str">
        <f t="shared" si="0"/>
        <v>XR-C-TA0009|XR-C-TE0009</v>
      </c>
    </row>
    <row r="26" spans="1:6" s="11" customFormat="1" ht="21.95" customHeight="1">
      <c r="A26" s="12" t="s">
        <v>819</v>
      </c>
      <c r="B26" s="12" t="s">
        <v>25</v>
      </c>
      <c r="C26" s="12" t="s">
        <v>148</v>
      </c>
      <c r="D26" s="12" t="s">
        <v>777</v>
      </c>
      <c r="E26" s="12" t="s">
        <v>820</v>
      </c>
      <c r="F26" s="12" t="str">
        <f t="shared" si="0"/>
        <v>XR-C-TA0003|XR-C-TE0010</v>
      </c>
    </row>
    <row r="27" spans="1:6" s="11" customFormat="1" ht="21.95" customHeight="1">
      <c r="A27" s="12" t="s">
        <v>821</v>
      </c>
      <c r="B27" s="12" t="s">
        <v>29</v>
      </c>
      <c r="C27" s="12" t="s">
        <v>148</v>
      </c>
      <c r="D27" s="12" t="s">
        <v>777</v>
      </c>
      <c r="E27" s="12" t="s">
        <v>822</v>
      </c>
      <c r="F27" s="12" t="str">
        <f t="shared" si="0"/>
        <v>XR-C-TA0004|XR-C-TE0010</v>
      </c>
    </row>
    <row r="28" spans="1:6" s="11" customFormat="1" ht="21.95" customHeight="1">
      <c r="A28" s="12" t="s">
        <v>823</v>
      </c>
      <c r="B28" s="12" t="s">
        <v>41</v>
      </c>
      <c r="C28" s="12" t="s">
        <v>148</v>
      </c>
      <c r="D28" s="12" t="s">
        <v>777</v>
      </c>
      <c r="E28" s="12" t="s">
        <v>824</v>
      </c>
      <c r="F28" s="12" t="str">
        <f t="shared" si="0"/>
        <v>XR-C-TA0007|XR-C-TE0010</v>
      </c>
    </row>
    <row r="29" spans="1:6" s="11" customFormat="1" ht="21.95" customHeight="1">
      <c r="A29" s="12" t="s">
        <v>825</v>
      </c>
      <c r="B29" s="12" t="s">
        <v>29</v>
      </c>
      <c r="C29" s="12" t="s">
        <v>154</v>
      </c>
      <c r="D29" s="12" t="s">
        <v>777</v>
      </c>
      <c r="E29" s="12" t="s">
        <v>826</v>
      </c>
      <c r="F29" s="12" t="str">
        <f t="shared" si="0"/>
        <v>XR-C-TA0004|XR-C-TE0011</v>
      </c>
    </row>
    <row r="30" spans="1:6" s="11" customFormat="1" ht="21.95" customHeight="1">
      <c r="A30" s="12" t="s">
        <v>827</v>
      </c>
      <c r="B30" s="12" t="s">
        <v>41</v>
      </c>
      <c r="C30" s="12" t="s">
        <v>154</v>
      </c>
      <c r="D30" s="12" t="s">
        <v>777</v>
      </c>
      <c r="E30" s="12" t="s">
        <v>828</v>
      </c>
      <c r="F30" s="12" t="str">
        <f t="shared" si="0"/>
        <v>XR-C-TA0007|XR-C-TE0011</v>
      </c>
    </row>
    <row r="31" spans="1:6" s="11" customFormat="1" ht="21.95" customHeight="1">
      <c r="A31" s="12" t="s">
        <v>829</v>
      </c>
      <c r="B31" s="12" t="s">
        <v>21</v>
      </c>
      <c r="C31" s="12" t="s">
        <v>160</v>
      </c>
      <c r="D31" s="12" t="s">
        <v>777</v>
      </c>
      <c r="E31" s="12" t="s">
        <v>830</v>
      </c>
      <c r="F31" s="12" t="str">
        <f t="shared" si="0"/>
        <v>XR-C-TA0002|XR-C-TE0012</v>
      </c>
    </row>
    <row r="32" spans="1:6" s="11" customFormat="1" ht="21.95" customHeight="1">
      <c r="A32" s="12" t="s">
        <v>831</v>
      </c>
      <c r="B32" s="12" t="s">
        <v>33</v>
      </c>
      <c r="C32" s="12" t="s">
        <v>160</v>
      </c>
      <c r="D32" s="12" t="s">
        <v>777</v>
      </c>
      <c r="E32" s="12" t="s">
        <v>832</v>
      </c>
      <c r="F32" s="12" t="str">
        <f t="shared" si="0"/>
        <v>XR-C-TA0005|XR-C-TE0012</v>
      </c>
    </row>
    <row r="33" spans="1:6" s="11" customFormat="1" ht="21.95" customHeight="1">
      <c r="A33" s="12" t="s">
        <v>833</v>
      </c>
      <c r="B33" s="12" t="s">
        <v>73</v>
      </c>
      <c r="C33" s="12" t="s">
        <v>160</v>
      </c>
      <c r="D33" s="12" t="s">
        <v>777</v>
      </c>
      <c r="E33" s="12" t="s">
        <v>834</v>
      </c>
      <c r="F33" s="12" t="str">
        <f t="shared" si="0"/>
        <v>XR-C-TA0015|XR-C-TE0012</v>
      </c>
    </row>
    <row r="34" spans="1:6" s="11" customFormat="1" ht="21.95" customHeight="1">
      <c r="A34" s="12" t="s">
        <v>835</v>
      </c>
      <c r="B34" s="12" t="s">
        <v>21</v>
      </c>
      <c r="C34" s="12" t="s">
        <v>167</v>
      </c>
      <c r="D34" s="12" t="s">
        <v>777</v>
      </c>
      <c r="E34" s="12" t="s">
        <v>836</v>
      </c>
      <c r="F34" s="12" t="str">
        <f t="shared" si="0"/>
        <v>XR-C-TA0002|XR-C-TE0013</v>
      </c>
    </row>
    <row r="35" spans="1:6" s="11" customFormat="1" ht="21.95" customHeight="1">
      <c r="A35" s="12" t="s">
        <v>837</v>
      </c>
      <c r="B35" s="12" t="s">
        <v>29</v>
      </c>
      <c r="C35" s="12" t="s">
        <v>167</v>
      </c>
      <c r="D35" s="12" t="s">
        <v>777</v>
      </c>
      <c r="E35" s="12" t="s">
        <v>838</v>
      </c>
      <c r="F35" s="12" t="str">
        <f t="shared" si="0"/>
        <v>XR-C-TA0004|XR-C-TE0013</v>
      </c>
    </row>
    <row r="36" spans="1:6" s="11" customFormat="1" ht="21.95" customHeight="1">
      <c r="A36" s="12" t="s">
        <v>839</v>
      </c>
      <c r="B36" s="12" t="s">
        <v>37</v>
      </c>
      <c r="C36" s="12" t="s">
        <v>167</v>
      </c>
      <c r="D36" s="12" t="s">
        <v>777</v>
      </c>
      <c r="E36" s="12" t="s">
        <v>840</v>
      </c>
      <c r="F36" s="12" t="str">
        <f t="shared" si="0"/>
        <v>XR-C-TA0006|XR-C-TE0013</v>
      </c>
    </row>
    <row r="37" spans="1:6" s="11" customFormat="1" ht="21.95" customHeight="1">
      <c r="A37" s="12" t="s">
        <v>841</v>
      </c>
      <c r="B37" s="12" t="s">
        <v>29</v>
      </c>
      <c r="C37" s="12" t="s">
        <v>174</v>
      </c>
      <c r="D37" s="12" t="s">
        <v>777</v>
      </c>
      <c r="E37" s="12" t="s">
        <v>842</v>
      </c>
      <c r="F37" s="12" t="str">
        <f t="shared" ref="F37:F68" si="1">B37&amp;"|"&amp;C37</f>
        <v>XR-C-TA0004|XR-C-TE0014</v>
      </c>
    </row>
    <row r="38" spans="1:6" s="11" customFormat="1" ht="21.95" customHeight="1">
      <c r="A38" s="12" t="s">
        <v>843</v>
      </c>
      <c r="B38" s="12" t="s">
        <v>33</v>
      </c>
      <c r="C38" s="12" t="s">
        <v>174</v>
      </c>
      <c r="D38" s="12" t="s">
        <v>777</v>
      </c>
      <c r="E38" s="12" t="s">
        <v>844</v>
      </c>
      <c r="F38" s="12" t="str">
        <f t="shared" si="1"/>
        <v>XR-C-TA0005|XR-C-TE0014</v>
      </c>
    </row>
    <row r="39" spans="1:6" s="11" customFormat="1" ht="21.95" customHeight="1">
      <c r="A39" s="12" t="s">
        <v>845</v>
      </c>
      <c r="B39" s="12" t="s">
        <v>37</v>
      </c>
      <c r="C39" s="12" t="s">
        <v>181</v>
      </c>
      <c r="D39" s="12" t="s">
        <v>777</v>
      </c>
      <c r="E39" s="12" t="s">
        <v>846</v>
      </c>
      <c r="F39" s="12" t="str">
        <f t="shared" si="1"/>
        <v>XR-C-TA0006|XR-C-TE0015</v>
      </c>
    </row>
    <row r="40" spans="1:6" s="11" customFormat="1" ht="21.95" customHeight="1">
      <c r="A40" s="12" t="s">
        <v>847</v>
      </c>
      <c r="B40" s="12" t="s">
        <v>25</v>
      </c>
      <c r="C40" s="12" t="s">
        <v>188</v>
      </c>
      <c r="D40" s="12" t="s">
        <v>777</v>
      </c>
      <c r="E40" s="12" t="s">
        <v>848</v>
      </c>
      <c r="F40" s="12" t="str">
        <f t="shared" si="1"/>
        <v>XR-C-TA0003|XR-C-TE0016</v>
      </c>
    </row>
    <row r="41" spans="1:6" s="11" customFormat="1" ht="21.95" customHeight="1">
      <c r="A41" s="12" t="s">
        <v>849</v>
      </c>
      <c r="B41" s="12" t="s">
        <v>37</v>
      </c>
      <c r="C41" s="12" t="s">
        <v>188</v>
      </c>
      <c r="D41" s="12" t="s">
        <v>777</v>
      </c>
      <c r="E41" s="12" t="s">
        <v>850</v>
      </c>
      <c r="F41" s="12" t="str">
        <f t="shared" si="1"/>
        <v>XR-C-TA0006|XR-C-TE0016</v>
      </c>
    </row>
    <row r="42" spans="1:6" s="11" customFormat="1" ht="21.95" customHeight="1">
      <c r="A42" s="12" t="s">
        <v>851</v>
      </c>
      <c r="B42" s="12" t="s">
        <v>37</v>
      </c>
      <c r="C42" s="12" t="s">
        <v>194</v>
      </c>
      <c r="D42" s="12" t="s">
        <v>777</v>
      </c>
      <c r="E42" s="12" t="s">
        <v>852</v>
      </c>
      <c r="F42" s="12" t="str">
        <f t="shared" si="1"/>
        <v>XR-C-TA0006|XR-C-TE0017</v>
      </c>
    </row>
    <row r="43" spans="1:6" s="11" customFormat="1" ht="21.95" customHeight="1">
      <c r="A43" s="12" t="s">
        <v>853</v>
      </c>
      <c r="B43" s="12" t="s">
        <v>37</v>
      </c>
      <c r="C43" s="12" t="s">
        <v>200</v>
      </c>
      <c r="D43" s="12" t="s">
        <v>777</v>
      </c>
      <c r="E43" s="12" t="s">
        <v>854</v>
      </c>
      <c r="F43" s="12" t="str">
        <f t="shared" si="1"/>
        <v>XR-C-TA0006|XR-C-TE0018</v>
      </c>
    </row>
    <row r="44" spans="1:6" s="11" customFormat="1" ht="21.95" customHeight="1">
      <c r="A44" s="12" t="s">
        <v>855</v>
      </c>
      <c r="B44" s="12" t="s">
        <v>41</v>
      </c>
      <c r="C44" s="12" t="s">
        <v>206</v>
      </c>
      <c r="D44" s="12" t="s">
        <v>777</v>
      </c>
      <c r="E44" s="12" t="s">
        <v>856</v>
      </c>
      <c r="F44" s="12" t="str">
        <f t="shared" si="1"/>
        <v>XR-C-TA0007|XR-C-TE0019</v>
      </c>
    </row>
    <row r="45" spans="1:6" s="11" customFormat="1" ht="21.95" customHeight="1">
      <c r="A45" s="12" t="s">
        <v>857</v>
      </c>
      <c r="B45" s="12" t="s">
        <v>41</v>
      </c>
      <c r="C45" s="12" t="s">
        <v>213</v>
      </c>
      <c r="D45" s="12" t="s">
        <v>777</v>
      </c>
      <c r="E45" s="12" t="s">
        <v>858</v>
      </c>
      <c r="F45" s="12" t="str">
        <f t="shared" si="1"/>
        <v>XR-C-TA0007|XR-C-TE0020</v>
      </c>
    </row>
    <row r="46" spans="1:6" s="11" customFormat="1" ht="21.95" customHeight="1">
      <c r="A46" s="12" t="s">
        <v>859</v>
      </c>
      <c r="B46" s="12" t="s">
        <v>45</v>
      </c>
      <c r="C46" s="12" t="s">
        <v>219</v>
      </c>
      <c r="D46" s="12" t="s">
        <v>777</v>
      </c>
      <c r="E46" s="12" t="s">
        <v>860</v>
      </c>
      <c r="F46" s="12" t="str">
        <f t="shared" si="1"/>
        <v>XR-C-TA0008|XR-C-TE0021</v>
      </c>
    </row>
    <row r="47" spans="1:6" s="11" customFormat="1" ht="21.95" customHeight="1">
      <c r="A47" s="12" t="s">
        <v>861</v>
      </c>
      <c r="B47" s="12" t="s">
        <v>21</v>
      </c>
      <c r="C47" s="12" t="s">
        <v>226</v>
      </c>
      <c r="D47" s="12" t="s">
        <v>777</v>
      </c>
      <c r="E47" s="12" t="s">
        <v>862</v>
      </c>
      <c r="F47" s="12" t="str">
        <f t="shared" si="1"/>
        <v>XR-C-TA0002|XR-C-TE0022</v>
      </c>
    </row>
    <row r="48" spans="1:6" s="11" customFormat="1" ht="21.95" customHeight="1">
      <c r="A48" s="12" t="s">
        <v>863</v>
      </c>
      <c r="B48" s="12" t="s">
        <v>45</v>
      </c>
      <c r="C48" s="12" t="s">
        <v>226</v>
      </c>
      <c r="D48" s="12" t="s">
        <v>777</v>
      </c>
      <c r="E48" s="12" t="s">
        <v>864</v>
      </c>
      <c r="F48" s="12" t="str">
        <f t="shared" si="1"/>
        <v>XR-C-TA0008|XR-C-TE0022</v>
      </c>
    </row>
    <row r="49" spans="1:6" s="11" customFormat="1" ht="21.95" customHeight="1">
      <c r="A49" s="12" t="s">
        <v>865</v>
      </c>
      <c r="B49" s="12" t="s">
        <v>25</v>
      </c>
      <c r="C49" s="12" t="s">
        <v>232</v>
      </c>
      <c r="D49" s="12" t="s">
        <v>777</v>
      </c>
      <c r="E49" s="12" t="s">
        <v>866</v>
      </c>
      <c r="F49" s="12" t="str">
        <f t="shared" si="1"/>
        <v>XR-C-TA0003|XR-C-TE0023</v>
      </c>
    </row>
    <row r="50" spans="1:6" s="11" customFormat="1" ht="21.95" customHeight="1">
      <c r="A50" s="12" t="s">
        <v>867</v>
      </c>
      <c r="B50" s="12" t="s">
        <v>49</v>
      </c>
      <c r="C50" s="12" t="s">
        <v>232</v>
      </c>
      <c r="D50" s="12" t="s">
        <v>777</v>
      </c>
      <c r="E50" s="12" t="s">
        <v>868</v>
      </c>
      <c r="F50" s="12" t="str">
        <f t="shared" si="1"/>
        <v>XR-C-TA0009|XR-C-TE0023</v>
      </c>
    </row>
    <row r="51" spans="1:6" s="11" customFormat="1" ht="21.95" customHeight="1">
      <c r="A51" s="12" t="s">
        <v>869</v>
      </c>
      <c r="B51" s="12" t="s">
        <v>49</v>
      </c>
      <c r="C51" s="12" t="s">
        <v>239</v>
      </c>
      <c r="D51" s="12" t="s">
        <v>777</v>
      </c>
      <c r="E51" s="12" t="s">
        <v>870</v>
      </c>
      <c r="F51" s="12" t="str">
        <f t="shared" si="1"/>
        <v>XR-C-TA0009|XR-C-TE0024</v>
      </c>
    </row>
    <row r="52" spans="1:6" s="11" customFormat="1" ht="21.95" customHeight="1">
      <c r="A52" s="12" t="s">
        <v>871</v>
      </c>
      <c r="B52" s="12" t="s">
        <v>53</v>
      </c>
      <c r="C52" s="12" t="s">
        <v>245</v>
      </c>
      <c r="D52" s="12" t="s">
        <v>777</v>
      </c>
      <c r="E52" s="12" t="s">
        <v>872</v>
      </c>
      <c r="F52" s="12" t="str">
        <f t="shared" si="1"/>
        <v>XR-C-TA0010|XR-C-TE0025</v>
      </c>
    </row>
    <row r="53" spans="1:6" s="11" customFormat="1" ht="21.95" customHeight="1">
      <c r="A53" s="12" t="s">
        <v>873</v>
      </c>
      <c r="B53" s="12" t="s">
        <v>57</v>
      </c>
      <c r="C53" s="12" t="s">
        <v>252</v>
      </c>
      <c r="D53" s="12" t="s">
        <v>777</v>
      </c>
      <c r="E53" s="12" t="s">
        <v>874</v>
      </c>
      <c r="F53" s="12" t="str">
        <f t="shared" si="1"/>
        <v>XR-C-TA0011|XR-C-TE0026</v>
      </c>
    </row>
    <row r="54" spans="1:6" s="11" customFormat="1" ht="21.95" customHeight="1">
      <c r="A54" s="12" t="s">
        <v>875</v>
      </c>
      <c r="B54" s="12" t="s">
        <v>61</v>
      </c>
      <c r="C54" s="12" t="s">
        <v>252</v>
      </c>
      <c r="D54" s="12" t="s">
        <v>777</v>
      </c>
      <c r="E54" s="12" t="s">
        <v>876</v>
      </c>
      <c r="F54" s="12" t="str">
        <f t="shared" si="1"/>
        <v>XR-C-TA0012|XR-C-TE0026</v>
      </c>
    </row>
    <row r="55" spans="1:6" s="11" customFormat="1" ht="21.95" customHeight="1">
      <c r="A55" s="12" t="s">
        <v>877</v>
      </c>
      <c r="B55" s="12" t="s">
        <v>61</v>
      </c>
      <c r="C55" s="12" t="s">
        <v>259</v>
      </c>
      <c r="D55" s="12" t="s">
        <v>777</v>
      </c>
      <c r="E55" s="12" t="s">
        <v>878</v>
      </c>
      <c r="F55" s="12" t="str">
        <f t="shared" si="1"/>
        <v>XR-C-TA0012|XR-C-TE0027</v>
      </c>
    </row>
    <row r="56" spans="1:6" s="11" customFormat="1" ht="21.95" customHeight="1">
      <c r="A56" s="12" t="s">
        <v>879</v>
      </c>
      <c r="B56" s="12" t="s">
        <v>25</v>
      </c>
      <c r="C56" s="12" t="s">
        <v>265</v>
      </c>
      <c r="D56" s="12" t="s">
        <v>777</v>
      </c>
      <c r="E56" s="12" t="s">
        <v>880</v>
      </c>
      <c r="F56" s="12" t="str">
        <f t="shared" si="1"/>
        <v>XR-C-TA0003|XR-C-TE0028</v>
      </c>
    </row>
    <row r="57" spans="1:6" s="11" customFormat="1" ht="21.95" customHeight="1">
      <c r="A57" s="12" t="s">
        <v>881</v>
      </c>
      <c r="B57" s="12" t="s">
        <v>69</v>
      </c>
      <c r="C57" s="12" t="s">
        <v>265</v>
      </c>
      <c r="D57" s="12" t="s">
        <v>777</v>
      </c>
      <c r="E57" s="12" t="s">
        <v>882</v>
      </c>
      <c r="F57" s="12" t="str">
        <f t="shared" si="1"/>
        <v>XR-C-TA0014|XR-C-TE0028</v>
      </c>
    </row>
    <row r="58" spans="1:6" s="11" customFormat="1" ht="21.95" customHeight="1">
      <c r="A58" s="12" t="s">
        <v>883</v>
      </c>
      <c r="B58" s="12" t="s">
        <v>65</v>
      </c>
      <c r="C58" s="12" t="s">
        <v>272</v>
      </c>
      <c r="D58" s="12" t="s">
        <v>777</v>
      </c>
      <c r="E58" s="12" t="s">
        <v>884</v>
      </c>
      <c r="F58" s="12" t="str">
        <f t="shared" si="1"/>
        <v>XR-C-TA0013|XR-C-TE0029</v>
      </c>
    </row>
    <row r="59" spans="1:6" s="11" customFormat="1" ht="21.95" customHeight="1">
      <c r="A59" s="12" t="s">
        <v>885</v>
      </c>
      <c r="B59" s="12" t="s">
        <v>69</v>
      </c>
      <c r="C59" s="12" t="s">
        <v>272</v>
      </c>
      <c r="D59" s="12" t="s">
        <v>777</v>
      </c>
      <c r="E59" s="12" t="s">
        <v>886</v>
      </c>
      <c r="F59" s="12" t="str">
        <f t="shared" si="1"/>
        <v>XR-C-TA0014|XR-C-TE0029</v>
      </c>
    </row>
    <row r="60" spans="1:6" s="11" customFormat="1" ht="21.95" customHeight="1">
      <c r="A60" s="12" t="s">
        <v>887</v>
      </c>
      <c r="B60" s="12" t="s">
        <v>73</v>
      </c>
      <c r="C60" s="12" t="s">
        <v>279</v>
      </c>
      <c r="D60" s="12" t="s">
        <v>777</v>
      </c>
      <c r="E60" s="12" t="s">
        <v>888</v>
      </c>
      <c r="F60" s="12" t="str">
        <f t="shared" si="1"/>
        <v>XR-C-TA0015|XR-C-TE0030</v>
      </c>
    </row>
    <row r="61" spans="1:6" s="11" customFormat="1" ht="21.95" customHeight="1">
      <c r="A61" s="12" t="s">
        <v>889</v>
      </c>
      <c r="B61" s="12" t="s">
        <v>25</v>
      </c>
      <c r="C61" s="12" t="s">
        <v>286</v>
      </c>
      <c r="D61" s="12" t="s">
        <v>777</v>
      </c>
      <c r="E61" s="12" t="s">
        <v>890</v>
      </c>
      <c r="F61" s="12" t="str">
        <f t="shared" si="1"/>
        <v>XR-C-TA0003|XR-C-TE0031</v>
      </c>
    </row>
    <row r="62" spans="1:6" s="11" customFormat="1" ht="21.95" customHeight="1">
      <c r="A62" s="12" t="s">
        <v>891</v>
      </c>
      <c r="B62" s="12" t="s">
        <v>73</v>
      </c>
      <c r="C62" s="12" t="s">
        <v>286</v>
      </c>
      <c r="D62" s="12" t="s">
        <v>777</v>
      </c>
      <c r="E62" s="12" t="s">
        <v>892</v>
      </c>
      <c r="F62" s="12" t="str">
        <f t="shared" si="1"/>
        <v>XR-C-TA0015|XR-C-TE0031</v>
      </c>
    </row>
    <row r="63" spans="1:6" s="11" customFormat="1" ht="21.95" customHeight="1">
      <c r="A63" s="12" t="s">
        <v>893</v>
      </c>
      <c r="B63" s="12" t="s">
        <v>69</v>
      </c>
      <c r="C63" s="12" t="s">
        <v>292</v>
      </c>
      <c r="D63" s="12" t="s">
        <v>777</v>
      </c>
      <c r="E63" s="12" t="s">
        <v>894</v>
      </c>
      <c r="F63" s="12" t="str">
        <f t="shared" si="1"/>
        <v>XR-C-TA0014|XR-C-TE0032</v>
      </c>
    </row>
    <row r="64" spans="1:6" s="11" customFormat="1" ht="21.95" customHeight="1">
      <c r="A64" s="12" t="s">
        <v>895</v>
      </c>
      <c r="B64" s="12" t="s">
        <v>73</v>
      </c>
      <c r="C64" s="12" t="s">
        <v>292</v>
      </c>
      <c r="D64" s="12" t="s">
        <v>777</v>
      </c>
      <c r="E64" s="12" t="s">
        <v>896</v>
      </c>
      <c r="F64" s="12" t="str">
        <f t="shared" si="1"/>
        <v>XR-C-TA0015|XR-C-TE0032</v>
      </c>
    </row>
    <row r="65" spans="1:6" s="11" customFormat="1" ht="21.95" customHeight="1">
      <c r="A65" s="12" t="s">
        <v>897</v>
      </c>
      <c r="B65" s="12" t="s">
        <v>77</v>
      </c>
      <c r="C65" s="12" t="s">
        <v>292</v>
      </c>
      <c r="D65" s="12" t="s">
        <v>777</v>
      </c>
      <c r="E65" s="12" t="s">
        <v>898</v>
      </c>
      <c r="F65" s="12" t="str">
        <f t="shared" si="1"/>
        <v>XR-C-TA0016|XR-C-TE0032</v>
      </c>
    </row>
    <row r="66" spans="1:6" s="11" customFormat="1" ht="21.95" customHeight="1">
      <c r="A66" s="12" t="s">
        <v>899</v>
      </c>
      <c r="B66" s="12" t="s">
        <v>69</v>
      </c>
      <c r="C66" s="12" t="s">
        <v>298</v>
      </c>
      <c r="D66" s="12" t="s">
        <v>777</v>
      </c>
      <c r="E66" s="12" t="s">
        <v>900</v>
      </c>
      <c r="F66" s="12" t="str">
        <f t="shared" si="1"/>
        <v>XR-C-TA0014|XR-C-TE0033</v>
      </c>
    </row>
    <row r="67" spans="1:6" s="11" customFormat="1" ht="21.95" customHeight="1">
      <c r="A67" s="12" t="s">
        <v>901</v>
      </c>
      <c r="B67" s="12" t="s">
        <v>77</v>
      </c>
      <c r="C67" s="12" t="s">
        <v>298</v>
      </c>
      <c r="D67" s="12" t="s">
        <v>777</v>
      </c>
      <c r="E67" s="12" t="s">
        <v>902</v>
      </c>
      <c r="F67" s="12" t="str">
        <f t="shared" si="1"/>
        <v>XR-C-TA0016|XR-C-TE0033</v>
      </c>
    </row>
    <row r="68" spans="1:6" s="11" customFormat="1" ht="21.95" customHeight="1">
      <c r="A68" s="12" t="s">
        <v>903</v>
      </c>
      <c r="B68" s="12" t="s">
        <v>65</v>
      </c>
      <c r="C68" s="12" t="s">
        <v>305</v>
      </c>
      <c r="D68" s="12" t="s">
        <v>777</v>
      </c>
      <c r="E68" s="12" t="s">
        <v>904</v>
      </c>
      <c r="F68" s="12" t="str">
        <f t="shared" si="1"/>
        <v>XR-C-TA0013|XR-C-TE0034</v>
      </c>
    </row>
    <row r="69" spans="1:6" s="11" customFormat="1" ht="21.95" customHeight="1">
      <c r="A69" s="12" t="s">
        <v>905</v>
      </c>
      <c r="B69" s="12" t="s">
        <v>69</v>
      </c>
      <c r="C69" s="12" t="s">
        <v>305</v>
      </c>
      <c r="D69" s="12" t="s">
        <v>777</v>
      </c>
      <c r="E69" s="12" t="s">
        <v>906</v>
      </c>
      <c r="F69" s="12" t="str">
        <f t="shared" ref="F69:F77" si="2">B69&amp;"|"&amp;C69</f>
        <v>XR-C-TA0014|XR-C-TE0034</v>
      </c>
    </row>
    <row r="70" spans="1:6" s="11" customFormat="1" ht="21.95" customHeight="1">
      <c r="A70" s="12" t="s">
        <v>907</v>
      </c>
      <c r="B70" s="12" t="s">
        <v>77</v>
      </c>
      <c r="C70" s="12" t="s">
        <v>305</v>
      </c>
      <c r="D70" s="12" t="s">
        <v>777</v>
      </c>
      <c r="E70" s="12" t="s">
        <v>908</v>
      </c>
      <c r="F70" s="12" t="str">
        <f t="shared" si="2"/>
        <v>XR-C-TA0016|XR-C-TE0034</v>
      </c>
    </row>
    <row r="71" spans="1:6" s="11" customFormat="1" ht="21.95" customHeight="1">
      <c r="A71" s="12" t="s">
        <v>909</v>
      </c>
      <c r="B71" s="12" t="s">
        <v>69</v>
      </c>
      <c r="C71" s="12" t="s">
        <v>311</v>
      </c>
      <c r="D71" s="12" t="s">
        <v>777</v>
      </c>
      <c r="E71" s="12" t="s">
        <v>910</v>
      </c>
      <c r="F71" s="12" t="str">
        <f t="shared" si="2"/>
        <v>XR-C-TA0014|XR-C-TE0035</v>
      </c>
    </row>
    <row r="72" spans="1:6" s="11" customFormat="1" ht="21.95" customHeight="1">
      <c r="A72" s="12" t="s">
        <v>911</v>
      </c>
      <c r="B72" s="12" t="s">
        <v>77</v>
      </c>
      <c r="C72" s="12" t="s">
        <v>311</v>
      </c>
      <c r="D72" s="12" t="s">
        <v>777</v>
      </c>
      <c r="E72" s="12" t="s">
        <v>912</v>
      </c>
      <c r="F72" s="12" t="str">
        <f t="shared" si="2"/>
        <v>XR-C-TA0016|XR-C-TE0035</v>
      </c>
    </row>
    <row r="73" spans="1:6" s="11" customFormat="1" ht="21.95" customHeight="1">
      <c r="A73" s="12" t="s">
        <v>913</v>
      </c>
      <c r="B73" s="12" t="s">
        <v>21</v>
      </c>
      <c r="C73" s="12" t="s">
        <v>317</v>
      </c>
      <c r="D73" s="12" t="s">
        <v>777</v>
      </c>
      <c r="E73" s="12" t="s">
        <v>914</v>
      </c>
      <c r="F73" s="12" t="str">
        <f t="shared" si="2"/>
        <v>XR-C-TA0002|XR-C-TE0036</v>
      </c>
    </row>
    <row r="74" spans="1:6" s="11" customFormat="1" ht="21.95" customHeight="1">
      <c r="A74" s="12" t="s">
        <v>915</v>
      </c>
      <c r="B74" s="12" t="s">
        <v>29</v>
      </c>
      <c r="C74" s="12" t="s">
        <v>317</v>
      </c>
      <c r="D74" s="12" t="s">
        <v>777</v>
      </c>
      <c r="E74" s="12" t="s">
        <v>916</v>
      </c>
      <c r="F74" s="12" t="str">
        <f t="shared" si="2"/>
        <v>XR-C-TA0004|XR-C-TE0036</v>
      </c>
    </row>
    <row r="75" spans="1:6" s="11" customFormat="1" ht="21.95" customHeight="1">
      <c r="A75" s="12" t="s">
        <v>917</v>
      </c>
      <c r="B75" s="12" t="s">
        <v>45</v>
      </c>
      <c r="C75" s="12" t="s">
        <v>317</v>
      </c>
      <c r="D75" s="12" t="s">
        <v>777</v>
      </c>
      <c r="E75" s="12" t="s">
        <v>918</v>
      </c>
      <c r="F75" s="12" t="str">
        <f t="shared" si="2"/>
        <v>XR-C-TA0008|XR-C-TE0036</v>
      </c>
    </row>
    <row r="76" spans="1:6" s="11" customFormat="1" ht="21.95" customHeight="1">
      <c r="A76" s="12" t="s">
        <v>919</v>
      </c>
      <c r="B76" s="12" t="s">
        <v>1</v>
      </c>
      <c r="C76" s="12" t="s">
        <v>323</v>
      </c>
      <c r="D76" s="12" t="s">
        <v>777</v>
      </c>
      <c r="E76" s="12" t="s">
        <v>920</v>
      </c>
      <c r="F76" s="12" t="str">
        <f t="shared" si="2"/>
        <v>XR-C-TA0001|XR-C-TE0037</v>
      </c>
    </row>
    <row r="77" spans="1:6" s="11" customFormat="1" ht="21.95" customHeight="1">
      <c r="A77" s="13" t="s">
        <v>921</v>
      </c>
      <c r="B77" s="13" t="s">
        <v>69</v>
      </c>
      <c r="C77" s="13" t="s">
        <v>323</v>
      </c>
      <c r="D77" s="13" t="s">
        <v>777</v>
      </c>
      <c r="E77" s="13" t="s">
        <v>922</v>
      </c>
      <c r="F77" s="13" t="str">
        <f t="shared" si="2"/>
        <v>XR-C-TA0014|XR-C-TE0037</v>
      </c>
    </row>
  </sheetData>
  <mergeCells count="2">
    <mergeCell ref="A1:F1"/>
    <mergeCell ref="A2:F2"/>
  </mergeCells>
  <phoneticPr fontId="6" type="noConversion"/>
  <dataValidations count="1">
    <dataValidation type="list" sqref="D5:D500" xr:uid="{00000000-0002-0000-0500-000000000000}">
      <formula1>"supports,primary,secondary"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7"/>
  <sheetViews>
    <sheetView showGridLines="0" zoomScale="70" zoomScaleNormal="70" workbookViewId="0">
      <selection activeCell="H3" sqref="H1:H1048576"/>
    </sheetView>
  </sheetViews>
  <sheetFormatPr defaultRowHeight="14.25"/>
  <cols>
    <col min="1" max="3" width="22" customWidth="1"/>
    <col min="4" max="4" width="18" customWidth="1"/>
    <col min="5" max="5" width="14" customWidth="1"/>
    <col min="6" max="6" width="60" customWidth="1"/>
    <col min="7" max="7" width="52" customWidth="1"/>
  </cols>
  <sheetData>
    <row r="1" spans="1:7" ht="30" customHeight="1">
      <c r="A1" s="15" t="s">
        <v>923</v>
      </c>
      <c r="B1" s="15"/>
      <c r="C1" s="15"/>
      <c r="D1" s="15"/>
      <c r="E1" s="15"/>
      <c r="F1" s="15"/>
      <c r="G1" s="15"/>
    </row>
    <row r="2" spans="1:7" ht="39.950000000000003" customHeight="1">
      <c r="A2" s="17" t="s">
        <v>1527</v>
      </c>
      <c r="B2" s="17"/>
      <c r="C2" s="17"/>
      <c r="D2" s="17"/>
      <c r="E2" s="17"/>
      <c r="F2" s="17"/>
      <c r="G2" s="17"/>
    </row>
    <row r="3" spans="1:7">
      <c r="A3" s="1"/>
      <c r="B3" s="1"/>
      <c r="C3" s="1"/>
      <c r="D3" s="1"/>
      <c r="E3" s="1"/>
      <c r="F3" s="1"/>
      <c r="G3" s="1"/>
    </row>
    <row r="4" spans="1:7" ht="36" customHeight="1">
      <c r="A4" s="2" t="s">
        <v>773</v>
      </c>
      <c r="B4" s="5" t="s">
        <v>82</v>
      </c>
      <c r="C4" s="5" t="s">
        <v>331</v>
      </c>
      <c r="D4" s="5" t="s">
        <v>774</v>
      </c>
      <c r="E4" s="5" t="s">
        <v>924</v>
      </c>
      <c r="F4" s="5" t="s">
        <v>925</v>
      </c>
      <c r="G4" s="5" t="s">
        <v>776</v>
      </c>
    </row>
    <row r="5" spans="1:7" s="11" customFormat="1" ht="21.95" customHeight="1">
      <c r="A5" s="10" t="s">
        <v>5</v>
      </c>
      <c r="B5" s="10" t="s">
        <v>2</v>
      </c>
      <c r="C5" s="10" t="s">
        <v>3</v>
      </c>
      <c r="D5" s="10" t="s">
        <v>926</v>
      </c>
      <c r="E5" s="10">
        <v>1</v>
      </c>
      <c r="F5" s="10" t="s">
        <v>927</v>
      </c>
      <c r="G5" s="10" t="str">
        <f t="shared" ref="G5:G36" si="0">B5&amp;"|"&amp;C5&amp;"|"&amp;D5</f>
        <v>XR-C-TE0001|XR-C-PR0001|core</v>
      </c>
    </row>
    <row r="6" spans="1:7" s="11" customFormat="1" ht="21.95" customHeight="1">
      <c r="A6" s="12" t="s">
        <v>928</v>
      </c>
      <c r="B6" s="12" t="s">
        <v>2</v>
      </c>
      <c r="C6" s="12" t="s">
        <v>373</v>
      </c>
      <c r="D6" s="12" t="s">
        <v>926</v>
      </c>
      <c r="E6" s="12">
        <v>2</v>
      </c>
      <c r="F6" s="12" t="s">
        <v>929</v>
      </c>
      <c r="G6" s="12" t="str">
        <f t="shared" si="0"/>
        <v>XR-C-TE0001|XR-C-PR0004|core</v>
      </c>
    </row>
    <row r="7" spans="1:7" s="11" customFormat="1" ht="21.95" customHeight="1">
      <c r="A7" s="12" t="s">
        <v>930</v>
      </c>
      <c r="B7" s="12" t="s">
        <v>95</v>
      </c>
      <c r="C7" s="12" t="s">
        <v>406</v>
      </c>
      <c r="D7" s="12" t="s">
        <v>926</v>
      </c>
      <c r="E7" s="12">
        <v>1</v>
      </c>
      <c r="F7" s="12" t="s">
        <v>931</v>
      </c>
      <c r="G7" s="12" t="str">
        <f t="shared" si="0"/>
        <v>XR-C-TE0002|XR-C-PR0007|core</v>
      </c>
    </row>
    <row r="8" spans="1:7" s="11" customFormat="1" ht="21.95" customHeight="1">
      <c r="A8" s="12" t="s">
        <v>932</v>
      </c>
      <c r="B8" s="12" t="s">
        <v>102</v>
      </c>
      <c r="C8" s="12" t="s">
        <v>351</v>
      </c>
      <c r="D8" s="12" t="s">
        <v>926</v>
      </c>
      <c r="E8" s="12">
        <v>1</v>
      </c>
      <c r="F8" s="12" t="s">
        <v>353</v>
      </c>
      <c r="G8" s="12" t="str">
        <f t="shared" si="0"/>
        <v>XR-C-TE0003|XR-C-PR0002|core</v>
      </c>
    </row>
    <row r="9" spans="1:7" s="11" customFormat="1" ht="21.95" customHeight="1">
      <c r="A9" s="12" t="s">
        <v>933</v>
      </c>
      <c r="B9" s="12" t="s">
        <v>102</v>
      </c>
      <c r="C9" s="12" t="s">
        <v>384</v>
      </c>
      <c r="D9" s="12" t="s">
        <v>926</v>
      </c>
      <c r="E9" s="12">
        <v>2</v>
      </c>
      <c r="F9" s="12" t="s">
        <v>934</v>
      </c>
      <c r="G9" s="12" t="str">
        <f t="shared" si="0"/>
        <v>XR-C-TE0003|XR-C-PR0005|core</v>
      </c>
    </row>
    <row r="10" spans="1:7" s="11" customFormat="1" ht="21.95" customHeight="1">
      <c r="A10" s="12" t="s">
        <v>935</v>
      </c>
      <c r="B10" s="12" t="s">
        <v>102</v>
      </c>
      <c r="C10" s="12" t="s">
        <v>362</v>
      </c>
      <c r="D10" s="12" t="s">
        <v>936</v>
      </c>
      <c r="E10" s="12">
        <v>3</v>
      </c>
      <c r="F10" s="12" t="s">
        <v>937</v>
      </c>
      <c r="G10" s="12" t="str">
        <f t="shared" si="0"/>
        <v>XR-C-TE0003|XR-C-PR0003|optional</v>
      </c>
    </row>
    <row r="11" spans="1:7" s="11" customFormat="1" ht="21.95" customHeight="1">
      <c r="A11" s="12" t="s">
        <v>938</v>
      </c>
      <c r="B11" s="12" t="s">
        <v>109</v>
      </c>
      <c r="C11" s="12" t="s">
        <v>396</v>
      </c>
      <c r="D11" s="12" t="s">
        <v>926</v>
      </c>
      <c r="E11" s="12">
        <v>1</v>
      </c>
      <c r="F11" s="12" t="s">
        <v>939</v>
      </c>
      <c r="G11" s="12" t="str">
        <f t="shared" si="0"/>
        <v>XR-C-TE0004|XR-C-PR0006|core</v>
      </c>
    </row>
    <row r="12" spans="1:7" s="11" customFormat="1" ht="21.95" customHeight="1">
      <c r="A12" s="12" t="s">
        <v>940</v>
      </c>
      <c r="B12" s="12" t="s">
        <v>116</v>
      </c>
      <c r="C12" s="12" t="s">
        <v>416</v>
      </c>
      <c r="D12" s="12" t="s">
        <v>926</v>
      </c>
      <c r="E12" s="12">
        <v>1</v>
      </c>
      <c r="F12" s="12" t="s">
        <v>418</v>
      </c>
      <c r="G12" s="12" t="str">
        <f t="shared" si="0"/>
        <v>XR-C-TE0005|XR-C-PR0008|core</v>
      </c>
    </row>
    <row r="13" spans="1:7" s="11" customFormat="1" ht="21.95" customHeight="1">
      <c r="A13" s="12" t="s">
        <v>941</v>
      </c>
      <c r="B13" s="12" t="s">
        <v>116</v>
      </c>
      <c r="C13" s="12" t="s">
        <v>425</v>
      </c>
      <c r="D13" s="12" t="s">
        <v>936</v>
      </c>
      <c r="E13" s="12">
        <v>2</v>
      </c>
      <c r="F13" s="12" t="s">
        <v>942</v>
      </c>
      <c r="G13" s="12" t="str">
        <f t="shared" si="0"/>
        <v>XR-C-TE0005|XR-C-PR0009|optional</v>
      </c>
    </row>
    <row r="14" spans="1:7" s="11" customFormat="1" ht="21.95" customHeight="1">
      <c r="A14" s="12" t="s">
        <v>943</v>
      </c>
      <c r="B14" s="12" t="s">
        <v>122</v>
      </c>
      <c r="C14" s="12" t="s">
        <v>436</v>
      </c>
      <c r="D14" s="12" t="s">
        <v>926</v>
      </c>
      <c r="E14" s="12">
        <v>1</v>
      </c>
      <c r="F14" s="12" t="s">
        <v>944</v>
      </c>
      <c r="G14" s="12" t="str">
        <f t="shared" si="0"/>
        <v>XR-C-TE0006|XR-C-PR0010|core</v>
      </c>
    </row>
    <row r="15" spans="1:7" s="11" customFormat="1" ht="21.95" customHeight="1">
      <c r="A15" s="12" t="s">
        <v>945</v>
      </c>
      <c r="B15" s="12" t="s">
        <v>128</v>
      </c>
      <c r="C15" s="12" t="s">
        <v>447</v>
      </c>
      <c r="D15" s="12" t="s">
        <v>926</v>
      </c>
      <c r="E15" s="12">
        <v>1</v>
      </c>
      <c r="F15" s="12" t="s">
        <v>946</v>
      </c>
      <c r="G15" s="12" t="str">
        <f t="shared" si="0"/>
        <v>XR-C-TE0007|XR-C-PR0011|core</v>
      </c>
    </row>
    <row r="16" spans="1:7" s="11" customFormat="1" ht="21.95" customHeight="1">
      <c r="A16" s="12" t="s">
        <v>947</v>
      </c>
      <c r="B16" s="12" t="s">
        <v>134</v>
      </c>
      <c r="C16" s="12" t="s">
        <v>457</v>
      </c>
      <c r="D16" s="12" t="s">
        <v>926</v>
      </c>
      <c r="E16" s="12">
        <v>1</v>
      </c>
      <c r="F16" s="12" t="s">
        <v>948</v>
      </c>
      <c r="G16" s="12" t="str">
        <f t="shared" si="0"/>
        <v>XR-C-TE0008|XR-C-PR0012|core</v>
      </c>
    </row>
    <row r="17" spans="1:7" s="11" customFormat="1" ht="21.95" customHeight="1">
      <c r="A17" s="12" t="s">
        <v>949</v>
      </c>
      <c r="B17" s="12" t="s">
        <v>141</v>
      </c>
      <c r="C17" s="12" t="s">
        <v>468</v>
      </c>
      <c r="D17" s="12" t="s">
        <v>926</v>
      </c>
      <c r="E17" s="12">
        <v>1</v>
      </c>
      <c r="F17" s="12" t="s">
        <v>470</v>
      </c>
      <c r="G17" s="12" t="str">
        <f t="shared" si="0"/>
        <v>XR-C-TE0009|XR-C-PR0013|core</v>
      </c>
    </row>
    <row r="18" spans="1:7" s="11" customFormat="1" ht="21.95" customHeight="1">
      <c r="A18" s="12" t="s">
        <v>950</v>
      </c>
      <c r="B18" s="12" t="s">
        <v>148</v>
      </c>
      <c r="C18" s="12" t="s">
        <v>478</v>
      </c>
      <c r="D18" s="12" t="s">
        <v>926</v>
      </c>
      <c r="E18" s="12">
        <v>1</v>
      </c>
      <c r="F18" s="12" t="s">
        <v>951</v>
      </c>
      <c r="G18" s="12" t="str">
        <f t="shared" si="0"/>
        <v>XR-C-TE0010|XR-C-PR0014|core</v>
      </c>
    </row>
    <row r="19" spans="1:7" s="11" customFormat="1" ht="21.95" customHeight="1">
      <c r="A19" s="12" t="s">
        <v>952</v>
      </c>
      <c r="B19" s="12" t="s">
        <v>154</v>
      </c>
      <c r="C19" s="12" t="s">
        <v>489</v>
      </c>
      <c r="D19" s="12" t="s">
        <v>926</v>
      </c>
      <c r="E19" s="12">
        <v>1</v>
      </c>
      <c r="F19" s="12" t="s">
        <v>953</v>
      </c>
      <c r="G19" s="12" t="str">
        <f t="shared" si="0"/>
        <v>XR-C-TE0011|XR-C-PR0015|core</v>
      </c>
    </row>
    <row r="20" spans="1:7" s="11" customFormat="1" ht="21.95" customHeight="1">
      <c r="A20" s="12" t="s">
        <v>954</v>
      </c>
      <c r="B20" s="12" t="s">
        <v>160</v>
      </c>
      <c r="C20" s="12" t="s">
        <v>499</v>
      </c>
      <c r="D20" s="12" t="s">
        <v>926</v>
      </c>
      <c r="E20" s="12">
        <v>1</v>
      </c>
      <c r="F20" s="12" t="s">
        <v>955</v>
      </c>
      <c r="G20" s="12" t="str">
        <f t="shared" si="0"/>
        <v>XR-C-TE0012|XR-C-PR0016|core</v>
      </c>
    </row>
    <row r="21" spans="1:7" s="11" customFormat="1" ht="21.95" customHeight="1">
      <c r="A21" s="12" t="s">
        <v>956</v>
      </c>
      <c r="B21" s="12" t="s">
        <v>167</v>
      </c>
      <c r="C21" s="12" t="s">
        <v>511</v>
      </c>
      <c r="D21" s="12" t="s">
        <v>926</v>
      </c>
      <c r="E21" s="12">
        <v>1</v>
      </c>
      <c r="F21" s="12" t="s">
        <v>957</v>
      </c>
      <c r="G21" s="12" t="str">
        <f t="shared" si="0"/>
        <v>XR-C-TE0013|XR-C-PR0017|core</v>
      </c>
    </row>
    <row r="22" spans="1:7" s="11" customFormat="1" ht="21.95" customHeight="1">
      <c r="A22" s="12" t="s">
        <v>958</v>
      </c>
      <c r="B22" s="12" t="s">
        <v>174</v>
      </c>
      <c r="C22" s="12" t="s">
        <v>520</v>
      </c>
      <c r="D22" s="12" t="s">
        <v>926</v>
      </c>
      <c r="E22" s="12">
        <v>1</v>
      </c>
      <c r="F22" s="12" t="s">
        <v>522</v>
      </c>
      <c r="G22" s="12" t="str">
        <f t="shared" si="0"/>
        <v>XR-C-TE0014|XR-C-PR0018|core</v>
      </c>
    </row>
    <row r="23" spans="1:7" s="11" customFormat="1" ht="21.95" customHeight="1">
      <c r="A23" s="12" t="s">
        <v>959</v>
      </c>
      <c r="B23" s="12" t="s">
        <v>181</v>
      </c>
      <c r="C23" s="12" t="s">
        <v>531</v>
      </c>
      <c r="D23" s="12" t="s">
        <v>926</v>
      </c>
      <c r="E23" s="12">
        <v>1</v>
      </c>
      <c r="F23" s="12" t="s">
        <v>533</v>
      </c>
      <c r="G23" s="12" t="str">
        <f t="shared" si="0"/>
        <v>XR-C-TE0015|XR-C-PR0019|core</v>
      </c>
    </row>
    <row r="24" spans="1:7" s="11" customFormat="1" ht="21.95" customHeight="1">
      <c r="A24" s="12" t="s">
        <v>960</v>
      </c>
      <c r="B24" s="12" t="s">
        <v>181</v>
      </c>
      <c r="C24" s="12" t="s">
        <v>541</v>
      </c>
      <c r="D24" s="12" t="s">
        <v>926</v>
      </c>
      <c r="E24" s="12">
        <v>2</v>
      </c>
      <c r="F24" s="12" t="s">
        <v>961</v>
      </c>
      <c r="G24" s="12" t="str">
        <f t="shared" si="0"/>
        <v>XR-C-TE0015|XR-C-PR0020|core</v>
      </c>
    </row>
    <row r="25" spans="1:7" s="11" customFormat="1" ht="21.95" customHeight="1">
      <c r="A25" s="12" t="s">
        <v>962</v>
      </c>
      <c r="B25" s="12" t="s">
        <v>188</v>
      </c>
      <c r="C25" s="12" t="s">
        <v>468</v>
      </c>
      <c r="D25" s="12" t="s">
        <v>926</v>
      </c>
      <c r="E25" s="12">
        <v>1</v>
      </c>
      <c r="F25" s="12" t="s">
        <v>963</v>
      </c>
      <c r="G25" s="12" t="str">
        <f t="shared" si="0"/>
        <v>XR-C-TE0016|XR-C-PR0013|core</v>
      </c>
    </row>
    <row r="26" spans="1:7" s="11" customFormat="1" ht="21.95" customHeight="1">
      <c r="A26" s="12" t="s">
        <v>964</v>
      </c>
      <c r="B26" s="12" t="s">
        <v>188</v>
      </c>
      <c r="C26" s="12" t="s">
        <v>531</v>
      </c>
      <c r="D26" s="12" t="s">
        <v>926</v>
      </c>
      <c r="E26" s="12">
        <v>2</v>
      </c>
      <c r="F26" s="12" t="s">
        <v>533</v>
      </c>
      <c r="G26" s="12" t="str">
        <f t="shared" si="0"/>
        <v>XR-C-TE0016|XR-C-PR0019|core</v>
      </c>
    </row>
    <row r="27" spans="1:7" s="11" customFormat="1" ht="21.95" customHeight="1">
      <c r="A27" s="12" t="s">
        <v>965</v>
      </c>
      <c r="B27" s="12" t="s">
        <v>188</v>
      </c>
      <c r="C27" s="12" t="s">
        <v>541</v>
      </c>
      <c r="D27" s="12" t="s">
        <v>926</v>
      </c>
      <c r="E27" s="12">
        <v>3</v>
      </c>
      <c r="F27" s="12" t="s">
        <v>961</v>
      </c>
      <c r="G27" s="12" t="str">
        <f t="shared" si="0"/>
        <v>XR-C-TE0016|XR-C-PR0020|core</v>
      </c>
    </row>
    <row r="28" spans="1:7" s="11" customFormat="1" ht="21.95" customHeight="1">
      <c r="A28" s="12" t="s">
        <v>966</v>
      </c>
      <c r="B28" s="12" t="s">
        <v>194</v>
      </c>
      <c r="C28" s="12" t="s">
        <v>552</v>
      </c>
      <c r="D28" s="12" t="s">
        <v>926</v>
      </c>
      <c r="E28" s="12">
        <v>1</v>
      </c>
      <c r="F28" s="12" t="s">
        <v>967</v>
      </c>
      <c r="G28" s="12" t="str">
        <f t="shared" si="0"/>
        <v>XR-C-TE0017|XR-C-PR0021|core</v>
      </c>
    </row>
    <row r="29" spans="1:7" s="11" customFormat="1" ht="21.95" customHeight="1">
      <c r="A29" s="12" t="s">
        <v>968</v>
      </c>
      <c r="B29" s="12" t="s">
        <v>200</v>
      </c>
      <c r="C29" s="12" t="s">
        <v>563</v>
      </c>
      <c r="D29" s="12" t="s">
        <v>926</v>
      </c>
      <c r="E29" s="12">
        <v>1</v>
      </c>
      <c r="F29" s="12" t="s">
        <v>565</v>
      </c>
      <c r="G29" s="12" t="str">
        <f t="shared" si="0"/>
        <v>XR-C-TE0018|XR-C-PR0022|core</v>
      </c>
    </row>
    <row r="30" spans="1:7" s="11" customFormat="1" ht="21.95" customHeight="1">
      <c r="A30" s="12" t="s">
        <v>969</v>
      </c>
      <c r="B30" s="12" t="s">
        <v>206</v>
      </c>
      <c r="C30" s="12" t="s">
        <v>573</v>
      </c>
      <c r="D30" s="12" t="s">
        <v>926</v>
      </c>
      <c r="E30" s="12">
        <v>1</v>
      </c>
      <c r="F30" s="12" t="s">
        <v>970</v>
      </c>
      <c r="G30" s="12" t="str">
        <f t="shared" si="0"/>
        <v>XR-C-TE0019|XR-C-PR0023|core</v>
      </c>
    </row>
    <row r="31" spans="1:7" s="11" customFormat="1" ht="21.95" customHeight="1">
      <c r="A31" s="12" t="s">
        <v>971</v>
      </c>
      <c r="B31" s="12" t="s">
        <v>206</v>
      </c>
      <c r="C31" s="12" t="s">
        <v>583</v>
      </c>
      <c r="D31" s="12" t="s">
        <v>926</v>
      </c>
      <c r="E31" s="12">
        <v>2</v>
      </c>
      <c r="F31" s="12" t="s">
        <v>972</v>
      </c>
      <c r="G31" s="12" t="str">
        <f t="shared" si="0"/>
        <v>XR-C-TE0019|XR-C-PR0024|core</v>
      </c>
    </row>
    <row r="32" spans="1:7" s="11" customFormat="1" ht="21.95" customHeight="1">
      <c r="A32" s="12" t="s">
        <v>973</v>
      </c>
      <c r="B32" s="12" t="s">
        <v>213</v>
      </c>
      <c r="C32" s="12" t="s">
        <v>573</v>
      </c>
      <c r="D32" s="12" t="s">
        <v>926</v>
      </c>
      <c r="E32" s="12">
        <v>1</v>
      </c>
      <c r="F32" s="12" t="s">
        <v>974</v>
      </c>
      <c r="G32" s="12" t="str">
        <f t="shared" si="0"/>
        <v>XR-C-TE0020|XR-C-PR0023|core</v>
      </c>
    </row>
    <row r="33" spans="1:7" s="11" customFormat="1" ht="21.95" customHeight="1">
      <c r="A33" s="12" t="s">
        <v>975</v>
      </c>
      <c r="B33" s="12" t="s">
        <v>219</v>
      </c>
      <c r="C33" s="12" t="s">
        <v>594</v>
      </c>
      <c r="D33" s="12" t="s">
        <v>926</v>
      </c>
      <c r="E33" s="12">
        <v>1</v>
      </c>
      <c r="F33" s="12" t="s">
        <v>976</v>
      </c>
      <c r="G33" s="12" t="str">
        <f t="shared" si="0"/>
        <v>XR-C-TE0021|XR-C-PR0025|core</v>
      </c>
    </row>
    <row r="34" spans="1:7" s="11" customFormat="1" ht="21.95" customHeight="1">
      <c r="A34" s="12" t="s">
        <v>977</v>
      </c>
      <c r="B34" s="12" t="s">
        <v>219</v>
      </c>
      <c r="C34" s="12" t="s">
        <v>541</v>
      </c>
      <c r="D34" s="12" t="s">
        <v>936</v>
      </c>
      <c r="E34" s="12">
        <v>2</v>
      </c>
      <c r="F34" s="12" t="s">
        <v>978</v>
      </c>
      <c r="G34" s="12" t="str">
        <f t="shared" si="0"/>
        <v>XR-C-TE0021|XR-C-PR0020|optional</v>
      </c>
    </row>
    <row r="35" spans="1:7" s="11" customFormat="1" ht="21.95" customHeight="1">
      <c r="A35" s="12" t="s">
        <v>979</v>
      </c>
      <c r="B35" s="12" t="s">
        <v>226</v>
      </c>
      <c r="C35" s="12" t="s">
        <v>605</v>
      </c>
      <c r="D35" s="12" t="s">
        <v>926</v>
      </c>
      <c r="E35" s="12">
        <v>1</v>
      </c>
      <c r="F35" s="12" t="s">
        <v>980</v>
      </c>
      <c r="G35" s="12" t="str">
        <f t="shared" si="0"/>
        <v>XR-C-TE0022|XR-C-PR0026|core</v>
      </c>
    </row>
    <row r="36" spans="1:7" s="11" customFormat="1" ht="21.95" customHeight="1">
      <c r="A36" s="12" t="s">
        <v>981</v>
      </c>
      <c r="B36" s="12" t="s">
        <v>226</v>
      </c>
      <c r="C36" s="12" t="s">
        <v>594</v>
      </c>
      <c r="D36" s="12" t="s">
        <v>936</v>
      </c>
      <c r="E36" s="12">
        <v>2</v>
      </c>
      <c r="F36" s="12" t="s">
        <v>982</v>
      </c>
      <c r="G36" s="12" t="str">
        <f t="shared" si="0"/>
        <v>XR-C-TE0022|XR-C-PR0025|optional</v>
      </c>
    </row>
    <row r="37" spans="1:7" s="11" customFormat="1" ht="21.95" customHeight="1">
      <c r="A37" s="12" t="s">
        <v>983</v>
      </c>
      <c r="B37" s="12" t="s">
        <v>232</v>
      </c>
      <c r="C37" s="12" t="s">
        <v>615</v>
      </c>
      <c r="D37" s="12" t="s">
        <v>926</v>
      </c>
      <c r="E37" s="12">
        <v>1</v>
      </c>
      <c r="F37" s="12" t="s">
        <v>984</v>
      </c>
      <c r="G37" s="12" t="str">
        <f t="shared" ref="G37:G57" si="1">B37&amp;"|"&amp;C37&amp;"|"&amp;D37</f>
        <v>XR-C-TE0023|XR-C-PR0027|core</v>
      </c>
    </row>
    <row r="38" spans="1:7" s="11" customFormat="1" ht="21.95" customHeight="1">
      <c r="A38" s="12" t="s">
        <v>985</v>
      </c>
      <c r="B38" s="12" t="s">
        <v>239</v>
      </c>
      <c r="C38" s="12" t="s">
        <v>624</v>
      </c>
      <c r="D38" s="12" t="s">
        <v>926</v>
      </c>
      <c r="E38" s="12">
        <v>1</v>
      </c>
      <c r="F38" s="12" t="s">
        <v>986</v>
      </c>
      <c r="G38" s="12" t="str">
        <f t="shared" si="1"/>
        <v>XR-C-TE0024|XR-C-PR0028|core</v>
      </c>
    </row>
    <row r="39" spans="1:7" s="11" customFormat="1" ht="21.95" customHeight="1">
      <c r="A39" s="12" t="s">
        <v>987</v>
      </c>
      <c r="B39" s="12" t="s">
        <v>245</v>
      </c>
      <c r="C39" s="12" t="s">
        <v>635</v>
      </c>
      <c r="D39" s="12" t="s">
        <v>926</v>
      </c>
      <c r="E39" s="12">
        <v>1</v>
      </c>
      <c r="F39" s="12" t="s">
        <v>637</v>
      </c>
      <c r="G39" s="12" t="str">
        <f t="shared" si="1"/>
        <v>XR-C-TE0025|XR-C-PR0029|core</v>
      </c>
    </row>
    <row r="40" spans="1:7" s="11" customFormat="1" ht="21.95" customHeight="1">
      <c r="A40" s="12" t="s">
        <v>988</v>
      </c>
      <c r="B40" s="12" t="s">
        <v>252</v>
      </c>
      <c r="C40" s="12" t="s">
        <v>647</v>
      </c>
      <c r="D40" s="12" t="s">
        <v>926</v>
      </c>
      <c r="E40" s="12">
        <v>1</v>
      </c>
      <c r="F40" s="12" t="s">
        <v>649</v>
      </c>
      <c r="G40" s="12" t="str">
        <f t="shared" si="1"/>
        <v>XR-C-TE0026|XR-C-PR0030|core</v>
      </c>
    </row>
    <row r="41" spans="1:7" s="11" customFormat="1" ht="21.95" customHeight="1">
      <c r="A41" s="12" t="s">
        <v>989</v>
      </c>
      <c r="B41" s="12" t="s">
        <v>259</v>
      </c>
      <c r="C41" s="12" t="s">
        <v>657</v>
      </c>
      <c r="D41" s="12" t="s">
        <v>926</v>
      </c>
      <c r="E41" s="12">
        <v>1</v>
      </c>
      <c r="F41" s="12" t="s">
        <v>990</v>
      </c>
      <c r="G41" s="12" t="str">
        <f t="shared" si="1"/>
        <v>XR-C-TE0027|XR-C-PR0031|core</v>
      </c>
    </row>
    <row r="42" spans="1:7" s="11" customFormat="1" ht="21.95" customHeight="1">
      <c r="A42" s="12" t="s">
        <v>991</v>
      </c>
      <c r="B42" s="12" t="s">
        <v>265</v>
      </c>
      <c r="C42" s="12" t="s">
        <v>699</v>
      </c>
      <c r="D42" s="12" t="s">
        <v>926</v>
      </c>
      <c r="E42" s="12">
        <v>1</v>
      </c>
      <c r="F42" s="12" t="s">
        <v>992</v>
      </c>
      <c r="G42" s="12" t="str">
        <f t="shared" si="1"/>
        <v>XR-C-TE0028|XR-C-PR0035|core</v>
      </c>
    </row>
    <row r="43" spans="1:7" s="11" customFormat="1" ht="21.95" customHeight="1">
      <c r="A43" s="12" t="s">
        <v>993</v>
      </c>
      <c r="B43" s="12" t="s">
        <v>265</v>
      </c>
      <c r="C43" s="12" t="s">
        <v>690</v>
      </c>
      <c r="D43" s="12" t="s">
        <v>936</v>
      </c>
      <c r="E43" s="12">
        <v>2</v>
      </c>
      <c r="F43" s="12" t="s">
        <v>994</v>
      </c>
      <c r="G43" s="12" t="str">
        <f t="shared" si="1"/>
        <v>XR-C-TE0028|XR-C-PR0034|optional</v>
      </c>
    </row>
    <row r="44" spans="1:7" s="11" customFormat="1" ht="21.95" customHeight="1">
      <c r="A44" s="12" t="s">
        <v>995</v>
      </c>
      <c r="B44" s="12" t="s">
        <v>272</v>
      </c>
      <c r="C44" s="12" t="s">
        <v>742</v>
      </c>
      <c r="D44" s="12" t="s">
        <v>926</v>
      </c>
      <c r="E44" s="12">
        <v>1</v>
      </c>
      <c r="F44" s="12" t="s">
        <v>744</v>
      </c>
      <c r="G44" s="12" t="str">
        <f t="shared" si="1"/>
        <v>XR-C-TE0029|XR-C-PR0039|core</v>
      </c>
    </row>
    <row r="45" spans="1:7" s="11" customFormat="1" ht="21.95" customHeight="1">
      <c r="A45" s="12" t="s">
        <v>996</v>
      </c>
      <c r="B45" s="12" t="s">
        <v>272</v>
      </c>
      <c r="C45" s="12" t="s">
        <v>753</v>
      </c>
      <c r="D45" s="12" t="s">
        <v>936</v>
      </c>
      <c r="E45" s="12">
        <v>2</v>
      </c>
      <c r="F45" s="12" t="s">
        <v>755</v>
      </c>
      <c r="G45" s="12" t="str">
        <f t="shared" si="1"/>
        <v>XR-C-TE0029|XR-C-PR0040|optional</v>
      </c>
    </row>
    <row r="46" spans="1:7" s="11" customFormat="1" ht="21.95" customHeight="1">
      <c r="A46" s="12" t="s">
        <v>997</v>
      </c>
      <c r="B46" s="12" t="s">
        <v>272</v>
      </c>
      <c r="C46" s="12" t="s">
        <v>762</v>
      </c>
      <c r="D46" s="12" t="s">
        <v>936</v>
      </c>
      <c r="E46" s="12">
        <v>3</v>
      </c>
      <c r="F46" s="12" t="s">
        <v>764</v>
      </c>
      <c r="G46" s="12" t="str">
        <f t="shared" si="1"/>
        <v>XR-C-TE0029|XR-C-PR0041|optional</v>
      </c>
    </row>
    <row r="47" spans="1:7" s="11" customFormat="1" ht="21.95" customHeight="1">
      <c r="A47" s="12" t="s">
        <v>998</v>
      </c>
      <c r="B47" s="12" t="s">
        <v>279</v>
      </c>
      <c r="C47" s="12" t="s">
        <v>669</v>
      </c>
      <c r="D47" s="12" t="s">
        <v>926</v>
      </c>
      <c r="E47" s="12">
        <v>1</v>
      </c>
      <c r="F47" s="12" t="s">
        <v>999</v>
      </c>
      <c r="G47" s="12" t="str">
        <f t="shared" si="1"/>
        <v>XR-C-TE0030|XR-C-PR0032|core</v>
      </c>
    </row>
    <row r="48" spans="1:7" s="11" customFormat="1" ht="21.95" customHeight="1">
      <c r="A48" s="12" t="s">
        <v>1000</v>
      </c>
      <c r="B48" s="12" t="s">
        <v>286</v>
      </c>
      <c r="C48" s="12" t="s">
        <v>679</v>
      </c>
      <c r="D48" s="12" t="s">
        <v>926</v>
      </c>
      <c r="E48" s="12">
        <v>1</v>
      </c>
      <c r="F48" s="12" t="s">
        <v>1001</v>
      </c>
      <c r="G48" s="12" t="str">
        <f t="shared" si="1"/>
        <v>XR-C-TE0031|XR-C-PR0033|core</v>
      </c>
    </row>
    <row r="49" spans="1:7" s="11" customFormat="1" ht="21.95" customHeight="1">
      <c r="A49" s="12" t="s">
        <v>1002</v>
      </c>
      <c r="B49" s="12" t="s">
        <v>292</v>
      </c>
      <c r="C49" s="12" t="s">
        <v>690</v>
      </c>
      <c r="D49" s="12" t="s">
        <v>926</v>
      </c>
      <c r="E49" s="12">
        <v>1</v>
      </c>
      <c r="F49" s="12" t="s">
        <v>692</v>
      </c>
      <c r="G49" s="12" t="str">
        <f t="shared" si="1"/>
        <v>XR-C-TE0032|XR-C-PR0034|core</v>
      </c>
    </row>
    <row r="50" spans="1:7" s="11" customFormat="1" ht="21.95" customHeight="1">
      <c r="A50" s="12" t="s">
        <v>1003</v>
      </c>
      <c r="B50" s="12" t="s">
        <v>298</v>
      </c>
      <c r="C50" s="12" t="s">
        <v>711</v>
      </c>
      <c r="D50" s="12" t="s">
        <v>926</v>
      </c>
      <c r="E50" s="12">
        <v>1</v>
      </c>
      <c r="F50" s="12" t="s">
        <v>713</v>
      </c>
      <c r="G50" s="12" t="str">
        <f t="shared" si="1"/>
        <v>XR-C-TE0033|XR-C-PR0036|core</v>
      </c>
    </row>
    <row r="51" spans="1:7" s="11" customFormat="1" ht="21.95" customHeight="1">
      <c r="A51" s="12" t="s">
        <v>1004</v>
      </c>
      <c r="B51" s="12" t="s">
        <v>298</v>
      </c>
      <c r="C51" s="12" t="s">
        <v>723</v>
      </c>
      <c r="D51" s="12" t="s">
        <v>926</v>
      </c>
      <c r="E51" s="12">
        <v>2</v>
      </c>
      <c r="F51" s="12" t="s">
        <v>725</v>
      </c>
      <c r="G51" s="12" t="str">
        <f t="shared" si="1"/>
        <v>XR-C-TE0033|XR-C-PR0037|core</v>
      </c>
    </row>
    <row r="52" spans="1:7" s="11" customFormat="1" ht="21.95" customHeight="1">
      <c r="A52" s="12" t="s">
        <v>1005</v>
      </c>
      <c r="B52" s="12" t="s">
        <v>305</v>
      </c>
      <c r="C52" s="12" t="s">
        <v>753</v>
      </c>
      <c r="D52" s="12" t="s">
        <v>926</v>
      </c>
      <c r="E52" s="12">
        <v>1</v>
      </c>
      <c r="F52" s="12" t="s">
        <v>755</v>
      </c>
      <c r="G52" s="12" t="str">
        <f t="shared" si="1"/>
        <v>XR-C-TE0034|XR-C-PR0040|core</v>
      </c>
    </row>
    <row r="53" spans="1:7" s="11" customFormat="1" ht="21.95" customHeight="1">
      <c r="A53" s="12" t="s">
        <v>1006</v>
      </c>
      <c r="B53" s="12" t="s">
        <v>305</v>
      </c>
      <c r="C53" s="12" t="s">
        <v>762</v>
      </c>
      <c r="D53" s="12" t="s">
        <v>926</v>
      </c>
      <c r="E53" s="12">
        <v>2</v>
      </c>
      <c r="F53" s="12" t="s">
        <v>1007</v>
      </c>
      <c r="G53" s="12" t="str">
        <f t="shared" si="1"/>
        <v>XR-C-TE0034|XR-C-PR0041|core</v>
      </c>
    </row>
    <row r="54" spans="1:7" s="11" customFormat="1" ht="21.95" customHeight="1">
      <c r="A54" s="12" t="s">
        <v>1008</v>
      </c>
      <c r="B54" s="12" t="s">
        <v>311</v>
      </c>
      <c r="C54" s="12" t="s">
        <v>733</v>
      </c>
      <c r="D54" s="12" t="s">
        <v>926</v>
      </c>
      <c r="E54" s="12">
        <v>1</v>
      </c>
      <c r="F54" s="12" t="s">
        <v>1009</v>
      </c>
      <c r="G54" s="12" t="str">
        <f t="shared" si="1"/>
        <v>XR-C-TE0035|XR-C-PR0038|core</v>
      </c>
    </row>
    <row r="55" spans="1:7" s="11" customFormat="1" ht="21.95" customHeight="1">
      <c r="A55" s="12" t="s">
        <v>1010</v>
      </c>
      <c r="B55" s="12" t="s">
        <v>317</v>
      </c>
      <c r="C55" s="12" t="s">
        <v>499</v>
      </c>
      <c r="D55" s="12" t="s">
        <v>926</v>
      </c>
      <c r="E55" s="12">
        <v>1</v>
      </c>
      <c r="F55" s="12" t="s">
        <v>1011</v>
      </c>
      <c r="G55" s="12" t="str">
        <f t="shared" si="1"/>
        <v>XR-C-TE0036|XR-C-PR0016|core</v>
      </c>
    </row>
    <row r="56" spans="1:7" s="11" customFormat="1" ht="21.95" customHeight="1">
      <c r="A56" s="12" t="s">
        <v>1012</v>
      </c>
      <c r="B56" s="12" t="s">
        <v>317</v>
      </c>
      <c r="C56" s="12" t="s">
        <v>406</v>
      </c>
      <c r="D56" s="12" t="s">
        <v>936</v>
      </c>
      <c r="E56" s="12">
        <v>2</v>
      </c>
      <c r="F56" s="12" t="s">
        <v>1013</v>
      </c>
      <c r="G56" s="12" t="str">
        <f t="shared" si="1"/>
        <v>XR-C-TE0036|XR-C-PR0007|optional</v>
      </c>
    </row>
    <row r="57" spans="1:7" s="11" customFormat="1" ht="21.95" customHeight="1">
      <c r="A57" s="13" t="s">
        <v>1014</v>
      </c>
      <c r="B57" s="13" t="s">
        <v>323</v>
      </c>
      <c r="C57" s="13" t="s">
        <v>362</v>
      </c>
      <c r="D57" s="13" t="s">
        <v>926</v>
      </c>
      <c r="E57" s="13">
        <v>1</v>
      </c>
      <c r="F57" s="13" t="s">
        <v>1015</v>
      </c>
      <c r="G57" s="13" t="str">
        <f t="shared" si="1"/>
        <v>XR-C-TE0037|XR-C-PR0003|core</v>
      </c>
    </row>
  </sheetData>
  <mergeCells count="2">
    <mergeCell ref="A1:G1"/>
    <mergeCell ref="A2:G2"/>
  </mergeCells>
  <phoneticPr fontId="6" type="noConversion"/>
  <dataValidations count="1">
    <dataValidation type="list" sqref="D5:D500" xr:uid="{00000000-0002-0000-0600-000000000000}">
      <formula1>"core,optional,alternative"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1"/>
  <sheetViews>
    <sheetView showGridLines="0" topLeftCell="E1" zoomScale="85" zoomScaleNormal="85" workbookViewId="0">
      <selection activeCell="J3" sqref="J1:J1048576"/>
    </sheetView>
  </sheetViews>
  <sheetFormatPr defaultRowHeight="14.25"/>
  <cols>
    <col min="1" max="2" width="22" customWidth="1"/>
    <col min="3" max="3" width="20" customWidth="1"/>
    <col min="4" max="4" width="18" customWidth="1"/>
    <col min="5" max="5" width="22" customWidth="1"/>
    <col min="6" max="6" width="28" customWidth="1"/>
    <col min="7" max="7" width="48" customWidth="1"/>
    <col min="8" max="8" width="72" customWidth="1"/>
    <col min="9" max="9" width="56" customWidth="1"/>
  </cols>
  <sheetData>
    <row r="1" spans="1:9" ht="30" customHeight="1">
      <c r="A1" s="15" t="s">
        <v>1016</v>
      </c>
      <c r="B1" s="15"/>
      <c r="C1" s="15"/>
      <c r="D1" s="15"/>
      <c r="E1" s="15"/>
      <c r="F1" s="15"/>
      <c r="G1" s="15"/>
      <c r="H1" s="15"/>
      <c r="I1" s="15"/>
    </row>
    <row r="2" spans="1:9" ht="39.950000000000003" customHeight="1">
      <c r="A2" s="16" t="s">
        <v>1526</v>
      </c>
      <c r="B2" s="17"/>
      <c r="C2" s="17"/>
      <c r="D2" s="17"/>
      <c r="E2" s="17"/>
      <c r="F2" s="17"/>
      <c r="G2" s="17"/>
      <c r="H2" s="17"/>
      <c r="I2" s="17"/>
    </row>
    <row r="3" spans="1:9">
      <c r="A3" s="1"/>
      <c r="B3" s="1"/>
      <c r="C3" s="1"/>
      <c r="D3" s="1"/>
      <c r="E3" s="1"/>
      <c r="F3" s="1"/>
      <c r="G3" s="1"/>
      <c r="H3" s="1"/>
      <c r="I3" s="1"/>
    </row>
    <row r="4" spans="1:9" ht="36" customHeight="1">
      <c r="A4" s="2" t="s">
        <v>1017</v>
      </c>
      <c r="B4" s="5" t="s">
        <v>1018</v>
      </c>
      <c r="C4" s="5" t="s">
        <v>1019</v>
      </c>
      <c r="D4" s="5" t="s">
        <v>1020</v>
      </c>
      <c r="E4" s="5" t="s">
        <v>1021</v>
      </c>
      <c r="F4" s="5" t="s">
        <v>1022</v>
      </c>
      <c r="G4" s="5" t="s">
        <v>1023</v>
      </c>
      <c r="H4" s="5" t="s">
        <v>1024</v>
      </c>
      <c r="I4" s="5" t="s">
        <v>1025</v>
      </c>
    </row>
    <row r="5" spans="1:9" s="11" customFormat="1" ht="21.95" customHeight="1">
      <c r="A5" s="10" t="s">
        <v>6</v>
      </c>
      <c r="B5" s="10" t="s">
        <v>2</v>
      </c>
      <c r="C5" s="10" t="s">
        <v>1026</v>
      </c>
      <c r="D5" s="10"/>
      <c r="E5" s="10" t="s">
        <v>11</v>
      </c>
      <c r="F5" s="10" t="s">
        <v>1027</v>
      </c>
      <c r="G5" s="10" t="s">
        <v>1028</v>
      </c>
      <c r="H5" s="10" t="s">
        <v>94</v>
      </c>
      <c r="I5" s="10" t="str">
        <f t="shared" ref="I5:I36" si="0">B5&amp;"|"&amp;C5&amp;"|"&amp;E5</f>
        <v>XR-C-TE0001|required|XR-P-PR0014</v>
      </c>
    </row>
    <row r="6" spans="1:9" s="11" customFormat="1" ht="21.95" customHeight="1">
      <c r="A6" s="12" t="s">
        <v>1029</v>
      </c>
      <c r="B6" s="12" t="s">
        <v>2</v>
      </c>
      <c r="C6" s="12" t="s">
        <v>936</v>
      </c>
      <c r="D6" s="12"/>
      <c r="E6" s="12" t="s">
        <v>1030</v>
      </c>
      <c r="F6" s="12" t="s">
        <v>1031</v>
      </c>
      <c r="G6" s="12" t="s">
        <v>1032</v>
      </c>
      <c r="H6" s="12" t="s">
        <v>94</v>
      </c>
      <c r="I6" s="12" t="str">
        <f t="shared" si="0"/>
        <v>XR-C-TE0001|optional|XR-P-CI0001</v>
      </c>
    </row>
    <row r="7" spans="1:9" s="11" customFormat="1" ht="21.95" customHeight="1">
      <c r="A7" s="12" t="s">
        <v>1033</v>
      </c>
      <c r="B7" s="12" t="s">
        <v>2</v>
      </c>
      <c r="C7" s="12" t="s">
        <v>936</v>
      </c>
      <c r="D7" s="12"/>
      <c r="E7" s="12" t="s">
        <v>1034</v>
      </c>
      <c r="F7" s="12" t="s">
        <v>1031</v>
      </c>
      <c r="G7" s="12" t="s">
        <v>1032</v>
      </c>
      <c r="H7" s="12" t="s">
        <v>94</v>
      </c>
      <c r="I7" s="12" t="str">
        <f t="shared" si="0"/>
        <v>XR-C-TE0001|optional|XR-P-CI0002</v>
      </c>
    </row>
    <row r="8" spans="1:9" s="11" customFormat="1" ht="21.95" customHeight="1">
      <c r="A8" s="12" t="s">
        <v>1035</v>
      </c>
      <c r="B8" s="12" t="s">
        <v>2</v>
      </c>
      <c r="C8" s="12" t="s">
        <v>936</v>
      </c>
      <c r="D8" s="12"/>
      <c r="E8" s="12" t="s">
        <v>1036</v>
      </c>
      <c r="F8" s="12" t="s">
        <v>1037</v>
      </c>
      <c r="G8" s="12" t="s">
        <v>1032</v>
      </c>
      <c r="H8" s="12" t="s">
        <v>94</v>
      </c>
      <c r="I8" s="12" t="str">
        <f t="shared" si="0"/>
        <v>XR-C-TE0001|optional|XR-P-SP0003</v>
      </c>
    </row>
    <row r="9" spans="1:9" s="11" customFormat="1" ht="21.95" customHeight="1">
      <c r="A9" s="12" t="s">
        <v>1038</v>
      </c>
      <c r="B9" s="12" t="s">
        <v>95</v>
      </c>
      <c r="C9" s="12" t="s">
        <v>1026</v>
      </c>
      <c r="D9" s="12"/>
      <c r="E9" s="12" t="s">
        <v>1039</v>
      </c>
      <c r="F9" s="12" t="s">
        <v>1040</v>
      </c>
      <c r="G9" s="12" t="s">
        <v>1028</v>
      </c>
      <c r="H9" s="12" t="s">
        <v>101</v>
      </c>
      <c r="I9" s="12" t="str">
        <f t="shared" si="0"/>
        <v>XR-C-TE0002|required|XR-P-TE0001</v>
      </c>
    </row>
    <row r="10" spans="1:9" s="11" customFormat="1" ht="21.95" customHeight="1">
      <c r="A10" s="12" t="s">
        <v>1041</v>
      </c>
      <c r="B10" s="12" t="s">
        <v>95</v>
      </c>
      <c r="C10" s="12" t="s">
        <v>1026</v>
      </c>
      <c r="D10" s="12"/>
      <c r="E10" s="12" t="s">
        <v>1042</v>
      </c>
      <c r="F10" s="12" t="s">
        <v>1027</v>
      </c>
      <c r="G10" s="12" t="s">
        <v>1028</v>
      </c>
      <c r="H10" s="12" t="s">
        <v>101</v>
      </c>
      <c r="I10" s="12" t="str">
        <f t="shared" si="0"/>
        <v>XR-C-TE0002|required|XR-P-PR0006</v>
      </c>
    </row>
    <row r="11" spans="1:9" s="11" customFormat="1" ht="21.95" customHeight="1">
      <c r="A11" s="12" t="s">
        <v>1043</v>
      </c>
      <c r="B11" s="12" t="s">
        <v>95</v>
      </c>
      <c r="C11" s="12" t="s">
        <v>1026</v>
      </c>
      <c r="D11" s="12"/>
      <c r="E11" s="12" t="s">
        <v>11</v>
      </c>
      <c r="F11" s="12" t="s">
        <v>1027</v>
      </c>
      <c r="G11" s="12" t="s">
        <v>1028</v>
      </c>
      <c r="H11" s="12" t="s">
        <v>101</v>
      </c>
      <c r="I11" s="12" t="str">
        <f t="shared" si="0"/>
        <v>XR-C-TE0002|required|XR-P-PR0014</v>
      </c>
    </row>
    <row r="12" spans="1:9" s="11" customFormat="1" ht="21.95" customHeight="1">
      <c r="A12" s="12" t="s">
        <v>1044</v>
      </c>
      <c r="B12" s="12" t="s">
        <v>95</v>
      </c>
      <c r="C12" s="12" t="s">
        <v>936</v>
      </c>
      <c r="D12" s="12"/>
      <c r="E12" s="12" t="s">
        <v>1045</v>
      </c>
      <c r="F12" s="12" t="s">
        <v>1040</v>
      </c>
      <c r="G12" s="12" t="s">
        <v>1032</v>
      </c>
      <c r="H12" s="12" t="s">
        <v>101</v>
      </c>
      <c r="I12" s="12" t="str">
        <f t="shared" si="0"/>
        <v>XR-C-TE0002|optional|XR-P-TE0002</v>
      </c>
    </row>
    <row r="13" spans="1:9" s="11" customFormat="1" ht="21.95" customHeight="1">
      <c r="A13" s="12" t="s">
        <v>1046</v>
      </c>
      <c r="B13" s="12" t="s">
        <v>95</v>
      </c>
      <c r="C13" s="12" t="s">
        <v>936</v>
      </c>
      <c r="D13" s="12"/>
      <c r="E13" s="12" t="s">
        <v>1047</v>
      </c>
      <c r="F13" s="12" t="s">
        <v>1027</v>
      </c>
      <c r="G13" s="12" t="s">
        <v>1032</v>
      </c>
      <c r="H13" s="12" t="s">
        <v>101</v>
      </c>
      <c r="I13" s="12" t="str">
        <f t="shared" si="0"/>
        <v>XR-C-TE0002|optional|XR-P-PR0007</v>
      </c>
    </row>
    <row r="14" spans="1:9" s="11" customFormat="1" ht="21.95" customHeight="1">
      <c r="A14" s="12" t="s">
        <v>1048</v>
      </c>
      <c r="B14" s="12" t="s">
        <v>102</v>
      </c>
      <c r="C14" s="12" t="s">
        <v>1026</v>
      </c>
      <c r="D14" s="12"/>
      <c r="E14" s="12" t="s">
        <v>1049</v>
      </c>
      <c r="F14" s="12" t="s">
        <v>1040</v>
      </c>
      <c r="G14" s="12" t="s">
        <v>1028</v>
      </c>
      <c r="H14" s="12" t="s">
        <v>108</v>
      </c>
      <c r="I14" s="12" t="str">
        <f t="shared" si="0"/>
        <v>XR-C-TE0003|required|XR-P-TE0013</v>
      </c>
    </row>
    <row r="15" spans="1:9" s="11" customFormat="1" ht="21.95" customHeight="1">
      <c r="A15" s="12" t="s">
        <v>1050</v>
      </c>
      <c r="B15" s="12" t="s">
        <v>102</v>
      </c>
      <c r="C15" s="12" t="s">
        <v>1026</v>
      </c>
      <c r="D15" s="12"/>
      <c r="E15" s="12" t="s">
        <v>1042</v>
      </c>
      <c r="F15" s="12" t="s">
        <v>1027</v>
      </c>
      <c r="G15" s="12" t="s">
        <v>1028</v>
      </c>
      <c r="H15" s="12" t="s">
        <v>108</v>
      </c>
      <c r="I15" s="12" t="str">
        <f t="shared" si="0"/>
        <v>XR-C-TE0003|required|XR-P-PR0006</v>
      </c>
    </row>
    <row r="16" spans="1:9" s="11" customFormat="1" ht="21.95" customHeight="1">
      <c r="A16" s="12" t="s">
        <v>1051</v>
      </c>
      <c r="B16" s="12" t="s">
        <v>102</v>
      </c>
      <c r="C16" s="12" t="s">
        <v>1026</v>
      </c>
      <c r="D16" s="12"/>
      <c r="E16" s="12" t="s">
        <v>1052</v>
      </c>
      <c r="F16" s="12" t="s">
        <v>1027</v>
      </c>
      <c r="G16" s="12" t="s">
        <v>1028</v>
      </c>
      <c r="H16" s="12" t="s">
        <v>108</v>
      </c>
      <c r="I16" s="12" t="str">
        <f t="shared" si="0"/>
        <v>XR-C-TE0003|required|XR-P-PR0018</v>
      </c>
    </row>
    <row r="17" spans="1:9" s="11" customFormat="1" ht="21.95" customHeight="1">
      <c r="A17" s="12" t="s">
        <v>1053</v>
      </c>
      <c r="B17" s="12" t="s">
        <v>102</v>
      </c>
      <c r="C17" s="12" t="s">
        <v>1026</v>
      </c>
      <c r="D17" s="12"/>
      <c r="E17" s="12" t="s">
        <v>11</v>
      </c>
      <c r="F17" s="12" t="s">
        <v>1027</v>
      </c>
      <c r="G17" s="12" t="s">
        <v>1028</v>
      </c>
      <c r="H17" s="12" t="s">
        <v>108</v>
      </c>
      <c r="I17" s="12" t="str">
        <f t="shared" si="0"/>
        <v>XR-C-TE0003|required|XR-P-PR0014</v>
      </c>
    </row>
    <row r="18" spans="1:9" s="11" customFormat="1" ht="21.95" customHeight="1">
      <c r="A18" s="12" t="s">
        <v>1054</v>
      </c>
      <c r="B18" s="12" t="s">
        <v>102</v>
      </c>
      <c r="C18" s="12" t="s">
        <v>936</v>
      </c>
      <c r="D18" s="12"/>
      <c r="E18" s="12" t="s">
        <v>1055</v>
      </c>
      <c r="F18" s="12" t="s">
        <v>1040</v>
      </c>
      <c r="G18" s="12" t="s">
        <v>1032</v>
      </c>
      <c r="H18" s="12" t="s">
        <v>108</v>
      </c>
      <c r="I18" s="12" t="str">
        <f t="shared" si="0"/>
        <v>XR-C-TE0003|optional|XR-P-TE0011</v>
      </c>
    </row>
    <row r="19" spans="1:9" s="11" customFormat="1" ht="21.95" customHeight="1">
      <c r="A19" s="12" t="s">
        <v>1056</v>
      </c>
      <c r="B19" s="12" t="s">
        <v>102</v>
      </c>
      <c r="C19" s="12" t="s">
        <v>936</v>
      </c>
      <c r="D19" s="12"/>
      <c r="E19" s="12" t="s">
        <v>1057</v>
      </c>
      <c r="F19" s="12" t="s">
        <v>1027</v>
      </c>
      <c r="G19" s="12" t="s">
        <v>1032</v>
      </c>
      <c r="H19" s="12" t="s">
        <v>108</v>
      </c>
      <c r="I19" s="12" t="str">
        <f t="shared" si="0"/>
        <v>XR-C-TE0003|optional|XR-P-PR0002</v>
      </c>
    </row>
    <row r="20" spans="1:9" s="11" customFormat="1" ht="21.95" customHeight="1">
      <c r="A20" s="12" t="s">
        <v>1058</v>
      </c>
      <c r="B20" s="12" t="s">
        <v>102</v>
      </c>
      <c r="C20" s="12" t="s">
        <v>936</v>
      </c>
      <c r="D20" s="12"/>
      <c r="E20" s="12" t="s">
        <v>1059</v>
      </c>
      <c r="F20" s="12" t="s">
        <v>1060</v>
      </c>
      <c r="G20" s="12" t="s">
        <v>1032</v>
      </c>
      <c r="H20" s="12" t="s">
        <v>108</v>
      </c>
      <c r="I20" s="12" t="str">
        <f t="shared" si="0"/>
        <v>XR-C-TE0003|optional|XR-U-AP0002</v>
      </c>
    </row>
    <row r="21" spans="1:9" s="11" customFormat="1" ht="21.95" customHeight="1">
      <c r="A21" s="12" t="s">
        <v>1061</v>
      </c>
      <c r="B21" s="12" t="s">
        <v>109</v>
      </c>
      <c r="C21" s="12" t="s">
        <v>1026</v>
      </c>
      <c r="D21" s="12"/>
      <c r="E21" s="12" t="s">
        <v>1062</v>
      </c>
      <c r="F21" s="12" t="s">
        <v>1040</v>
      </c>
      <c r="G21" s="12" t="s">
        <v>1028</v>
      </c>
      <c r="H21" s="12" t="s">
        <v>115</v>
      </c>
      <c r="I21" s="12" t="str">
        <f t="shared" si="0"/>
        <v>XR-C-TE0004|required|XR-P-TE0022</v>
      </c>
    </row>
    <row r="22" spans="1:9" s="11" customFormat="1" ht="21.95" customHeight="1">
      <c r="A22" s="12" t="s">
        <v>1063</v>
      </c>
      <c r="B22" s="12" t="s">
        <v>109</v>
      </c>
      <c r="C22" s="12" t="s">
        <v>1026</v>
      </c>
      <c r="D22" s="12"/>
      <c r="E22" s="12" t="s">
        <v>1064</v>
      </c>
      <c r="F22" s="12" t="s">
        <v>1027</v>
      </c>
      <c r="G22" s="12" t="s">
        <v>1028</v>
      </c>
      <c r="H22" s="12" t="s">
        <v>115</v>
      </c>
      <c r="I22" s="12" t="str">
        <f t="shared" si="0"/>
        <v>XR-C-TE0004|required|XR-P-PR0010</v>
      </c>
    </row>
    <row r="23" spans="1:9" s="11" customFormat="1" ht="21.95" customHeight="1">
      <c r="A23" s="12" t="s">
        <v>1065</v>
      </c>
      <c r="B23" s="12" t="s">
        <v>109</v>
      </c>
      <c r="C23" s="12" t="s">
        <v>1026</v>
      </c>
      <c r="D23" s="12"/>
      <c r="E23" s="12" t="s">
        <v>11</v>
      </c>
      <c r="F23" s="12" t="s">
        <v>1027</v>
      </c>
      <c r="G23" s="12" t="s">
        <v>1028</v>
      </c>
      <c r="H23" s="12" t="s">
        <v>115</v>
      </c>
      <c r="I23" s="12" t="str">
        <f t="shared" si="0"/>
        <v>XR-C-TE0004|required|XR-P-PR0014</v>
      </c>
    </row>
    <row r="24" spans="1:9" s="11" customFormat="1" ht="21.95" customHeight="1">
      <c r="A24" s="12" t="s">
        <v>1066</v>
      </c>
      <c r="B24" s="12" t="s">
        <v>109</v>
      </c>
      <c r="C24" s="12" t="s">
        <v>936</v>
      </c>
      <c r="D24" s="12"/>
      <c r="E24" s="12" t="s">
        <v>1067</v>
      </c>
      <c r="F24" s="12" t="s">
        <v>1040</v>
      </c>
      <c r="G24" s="12" t="s">
        <v>1032</v>
      </c>
      <c r="H24" s="12" t="s">
        <v>115</v>
      </c>
      <c r="I24" s="12" t="str">
        <f t="shared" si="0"/>
        <v>XR-C-TE0004|optional|XR-P-TE0014</v>
      </c>
    </row>
    <row r="25" spans="1:9" s="11" customFormat="1" ht="21.95" customHeight="1">
      <c r="A25" s="12" t="s">
        <v>1068</v>
      </c>
      <c r="B25" s="12" t="s">
        <v>116</v>
      </c>
      <c r="C25" s="12" t="s">
        <v>1026</v>
      </c>
      <c r="D25" s="12"/>
      <c r="E25" s="12" t="s">
        <v>1039</v>
      </c>
      <c r="F25" s="12" t="s">
        <v>1040</v>
      </c>
      <c r="G25" s="12" t="s">
        <v>1028</v>
      </c>
      <c r="H25" s="12" t="s">
        <v>121</v>
      </c>
      <c r="I25" s="12" t="str">
        <f t="shared" si="0"/>
        <v>XR-C-TE0005|required|XR-P-TE0001</v>
      </c>
    </row>
    <row r="26" spans="1:9" s="11" customFormat="1" ht="21.95" customHeight="1">
      <c r="A26" s="12" t="s">
        <v>1069</v>
      </c>
      <c r="B26" s="12" t="s">
        <v>116</v>
      </c>
      <c r="C26" s="12" t="s">
        <v>1026</v>
      </c>
      <c r="D26" s="12"/>
      <c r="E26" s="12" t="s">
        <v>1042</v>
      </c>
      <c r="F26" s="12" t="s">
        <v>1027</v>
      </c>
      <c r="G26" s="12" t="s">
        <v>1028</v>
      </c>
      <c r="H26" s="12" t="s">
        <v>121</v>
      </c>
      <c r="I26" s="12" t="str">
        <f t="shared" si="0"/>
        <v>XR-C-TE0005|required|XR-P-PR0006</v>
      </c>
    </row>
    <row r="27" spans="1:9" s="11" customFormat="1" ht="21.95" customHeight="1">
      <c r="A27" s="12" t="s">
        <v>1070</v>
      </c>
      <c r="B27" s="12" t="s">
        <v>116</v>
      </c>
      <c r="C27" s="12" t="s">
        <v>1026</v>
      </c>
      <c r="D27" s="12"/>
      <c r="E27" s="12" t="s">
        <v>11</v>
      </c>
      <c r="F27" s="12" t="s">
        <v>1027</v>
      </c>
      <c r="G27" s="12" t="s">
        <v>1028</v>
      </c>
      <c r="H27" s="12" t="s">
        <v>121</v>
      </c>
      <c r="I27" s="12" t="str">
        <f t="shared" si="0"/>
        <v>XR-C-TE0005|required|XR-P-PR0014</v>
      </c>
    </row>
    <row r="28" spans="1:9" s="11" customFormat="1" ht="21.95" customHeight="1">
      <c r="A28" s="12" t="s">
        <v>1071</v>
      </c>
      <c r="B28" s="12" t="s">
        <v>116</v>
      </c>
      <c r="C28" s="12" t="s">
        <v>936</v>
      </c>
      <c r="D28" s="12"/>
      <c r="E28" s="12" t="s">
        <v>1045</v>
      </c>
      <c r="F28" s="12" t="s">
        <v>1040</v>
      </c>
      <c r="G28" s="12" t="s">
        <v>1032</v>
      </c>
      <c r="H28" s="12" t="s">
        <v>121</v>
      </c>
      <c r="I28" s="12" t="str">
        <f t="shared" si="0"/>
        <v>XR-C-TE0005|optional|XR-P-TE0002</v>
      </c>
    </row>
    <row r="29" spans="1:9" s="11" customFormat="1" ht="21.95" customHeight="1">
      <c r="A29" s="12" t="s">
        <v>1072</v>
      </c>
      <c r="B29" s="12" t="s">
        <v>116</v>
      </c>
      <c r="C29" s="12" t="s">
        <v>936</v>
      </c>
      <c r="D29" s="12"/>
      <c r="E29" s="12" t="s">
        <v>1047</v>
      </c>
      <c r="F29" s="12" t="s">
        <v>1027</v>
      </c>
      <c r="G29" s="12" t="s">
        <v>1032</v>
      </c>
      <c r="H29" s="12" t="s">
        <v>121</v>
      </c>
      <c r="I29" s="12" t="str">
        <f t="shared" si="0"/>
        <v>XR-C-TE0005|optional|XR-P-PR0007</v>
      </c>
    </row>
    <row r="30" spans="1:9" s="11" customFormat="1" ht="21.95" customHeight="1">
      <c r="A30" s="12" t="s">
        <v>1073</v>
      </c>
      <c r="B30" s="12" t="s">
        <v>116</v>
      </c>
      <c r="C30" s="12" t="s">
        <v>936</v>
      </c>
      <c r="D30" s="12"/>
      <c r="E30" s="12" t="s">
        <v>1074</v>
      </c>
      <c r="F30" s="12" t="s">
        <v>1027</v>
      </c>
      <c r="G30" s="12" t="s">
        <v>1032</v>
      </c>
      <c r="H30" s="12" t="s">
        <v>121</v>
      </c>
      <c r="I30" s="12" t="str">
        <f t="shared" si="0"/>
        <v>XR-C-TE0005|optional|XR-P-PR0008</v>
      </c>
    </row>
    <row r="31" spans="1:9" s="11" customFormat="1" ht="21.95" customHeight="1">
      <c r="A31" s="12" t="s">
        <v>1075</v>
      </c>
      <c r="B31" s="12" t="s">
        <v>122</v>
      </c>
      <c r="C31" s="12" t="s">
        <v>1026</v>
      </c>
      <c r="D31" s="12"/>
      <c r="E31" s="12" t="s">
        <v>1039</v>
      </c>
      <c r="F31" s="12" t="s">
        <v>1040</v>
      </c>
      <c r="G31" s="12" t="s">
        <v>1028</v>
      </c>
      <c r="H31" s="12" t="s">
        <v>127</v>
      </c>
      <c r="I31" s="12" t="str">
        <f t="shared" si="0"/>
        <v>XR-C-TE0006|required|XR-P-TE0001</v>
      </c>
    </row>
    <row r="32" spans="1:9" s="11" customFormat="1" ht="21.95" customHeight="1">
      <c r="A32" s="12" t="s">
        <v>1076</v>
      </c>
      <c r="B32" s="12" t="s">
        <v>122</v>
      </c>
      <c r="C32" s="12" t="s">
        <v>1026</v>
      </c>
      <c r="D32" s="12"/>
      <c r="E32" s="12" t="s">
        <v>1042</v>
      </c>
      <c r="F32" s="12" t="s">
        <v>1027</v>
      </c>
      <c r="G32" s="12" t="s">
        <v>1028</v>
      </c>
      <c r="H32" s="12" t="s">
        <v>127</v>
      </c>
      <c r="I32" s="12" t="str">
        <f t="shared" si="0"/>
        <v>XR-C-TE0006|required|XR-P-PR0006</v>
      </c>
    </row>
    <row r="33" spans="1:9" s="11" customFormat="1" ht="21.95" customHeight="1">
      <c r="A33" s="12" t="s">
        <v>1077</v>
      </c>
      <c r="B33" s="12" t="s">
        <v>122</v>
      </c>
      <c r="C33" s="12" t="s">
        <v>1026</v>
      </c>
      <c r="D33" s="12"/>
      <c r="E33" s="12" t="s">
        <v>11</v>
      </c>
      <c r="F33" s="12" t="s">
        <v>1027</v>
      </c>
      <c r="G33" s="12" t="s">
        <v>1028</v>
      </c>
      <c r="H33" s="12" t="s">
        <v>127</v>
      </c>
      <c r="I33" s="12" t="str">
        <f t="shared" si="0"/>
        <v>XR-C-TE0006|required|XR-P-PR0014</v>
      </c>
    </row>
    <row r="34" spans="1:9" s="11" customFormat="1" ht="21.95" customHeight="1">
      <c r="A34" s="12" t="s">
        <v>1078</v>
      </c>
      <c r="B34" s="12" t="s">
        <v>122</v>
      </c>
      <c r="C34" s="12" t="s">
        <v>936</v>
      </c>
      <c r="D34" s="12"/>
      <c r="E34" s="12" t="s">
        <v>1045</v>
      </c>
      <c r="F34" s="12" t="s">
        <v>1040</v>
      </c>
      <c r="G34" s="12" t="s">
        <v>1032</v>
      </c>
      <c r="H34" s="12" t="s">
        <v>127</v>
      </c>
      <c r="I34" s="12" t="str">
        <f t="shared" si="0"/>
        <v>XR-C-TE0006|optional|XR-P-TE0002</v>
      </c>
    </row>
    <row r="35" spans="1:9" s="11" customFormat="1" ht="21.95" customHeight="1">
      <c r="A35" s="12" t="s">
        <v>1079</v>
      </c>
      <c r="B35" s="12" t="s">
        <v>122</v>
      </c>
      <c r="C35" s="12" t="s">
        <v>936</v>
      </c>
      <c r="D35" s="12"/>
      <c r="E35" s="12" t="s">
        <v>1047</v>
      </c>
      <c r="F35" s="12" t="s">
        <v>1027</v>
      </c>
      <c r="G35" s="12" t="s">
        <v>1032</v>
      </c>
      <c r="H35" s="12" t="s">
        <v>127</v>
      </c>
      <c r="I35" s="12" t="str">
        <f t="shared" si="0"/>
        <v>XR-C-TE0006|optional|XR-P-PR0007</v>
      </c>
    </row>
    <row r="36" spans="1:9" s="11" customFormat="1" ht="21.95" customHeight="1">
      <c r="A36" s="12" t="s">
        <v>1080</v>
      </c>
      <c r="B36" s="12" t="s">
        <v>128</v>
      </c>
      <c r="C36" s="12" t="s">
        <v>1026</v>
      </c>
      <c r="D36" s="12"/>
      <c r="E36" s="12" t="s">
        <v>1039</v>
      </c>
      <c r="F36" s="12" t="s">
        <v>1040</v>
      </c>
      <c r="G36" s="12" t="s">
        <v>1028</v>
      </c>
      <c r="H36" s="12" t="s">
        <v>133</v>
      </c>
      <c r="I36" s="12" t="str">
        <f t="shared" si="0"/>
        <v>XR-C-TE0007|required|XR-P-TE0001</v>
      </c>
    </row>
    <row r="37" spans="1:9" s="11" customFormat="1" ht="21.95" customHeight="1">
      <c r="A37" s="12" t="s">
        <v>1081</v>
      </c>
      <c r="B37" s="12" t="s">
        <v>128</v>
      </c>
      <c r="C37" s="12" t="s">
        <v>1026</v>
      </c>
      <c r="D37" s="12"/>
      <c r="E37" s="12" t="s">
        <v>1042</v>
      </c>
      <c r="F37" s="12" t="s">
        <v>1027</v>
      </c>
      <c r="G37" s="12" t="s">
        <v>1028</v>
      </c>
      <c r="H37" s="12" t="s">
        <v>133</v>
      </c>
      <c r="I37" s="12" t="str">
        <f t="shared" ref="I37:I68" si="1">B37&amp;"|"&amp;C37&amp;"|"&amp;E37</f>
        <v>XR-C-TE0007|required|XR-P-PR0006</v>
      </c>
    </row>
    <row r="38" spans="1:9" s="11" customFormat="1" ht="21.95" customHeight="1">
      <c r="A38" s="12" t="s">
        <v>1082</v>
      </c>
      <c r="B38" s="12" t="s">
        <v>128</v>
      </c>
      <c r="C38" s="12" t="s">
        <v>1026</v>
      </c>
      <c r="D38" s="12"/>
      <c r="E38" s="12" t="s">
        <v>11</v>
      </c>
      <c r="F38" s="12" t="s">
        <v>1027</v>
      </c>
      <c r="G38" s="12" t="s">
        <v>1028</v>
      </c>
      <c r="H38" s="12" t="s">
        <v>133</v>
      </c>
      <c r="I38" s="12" t="str">
        <f t="shared" si="1"/>
        <v>XR-C-TE0007|required|XR-P-PR0014</v>
      </c>
    </row>
    <row r="39" spans="1:9" s="11" customFormat="1" ht="21.95" customHeight="1">
      <c r="A39" s="12" t="s">
        <v>1083</v>
      </c>
      <c r="B39" s="12" t="s">
        <v>128</v>
      </c>
      <c r="C39" s="12" t="s">
        <v>936</v>
      </c>
      <c r="D39" s="12"/>
      <c r="E39" s="12" t="s">
        <v>1045</v>
      </c>
      <c r="F39" s="12" t="s">
        <v>1040</v>
      </c>
      <c r="G39" s="12" t="s">
        <v>1032</v>
      </c>
      <c r="H39" s="12" t="s">
        <v>133</v>
      </c>
      <c r="I39" s="12" t="str">
        <f t="shared" si="1"/>
        <v>XR-C-TE0007|optional|XR-P-TE0002</v>
      </c>
    </row>
    <row r="40" spans="1:9" s="11" customFormat="1" ht="21.95" customHeight="1">
      <c r="A40" s="12" t="s">
        <v>1084</v>
      </c>
      <c r="B40" s="12" t="s">
        <v>128</v>
      </c>
      <c r="C40" s="12" t="s">
        <v>936</v>
      </c>
      <c r="D40" s="12"/>
      <c r="E40" s="12" t="s">
        <v>1085</v>
      </c>
      <c r="F40" s="12" t="s">
        <v>1040</v>
      </c>
      <c r="G40" s="12" t="s">
        <v>1032</v>
      </c>
      <c r="H40" s="12" t="s">
        <v>133</v>
      </c>
      <c r="I40" s="12" t="str">
        <f t="shared" si="1"/>
        <v>XR-C-TE0007|optional|XR-P-TE0008</v>
      </c>
    </row>
    <row r="41" spans="1:9" s="11" customFormat="1" ht="21.95" customHeight="1">
      <c r="A41" s="12" t="s">
        <v>1086</v>
      </c>
      <c r="B41" s="12" t="s">
        <v>134</v>
      </c>
      <c r="C41" s="12" t="s">
        <v>1026</v>
      </c>
      <c r="D41" s="12"/>
      <c r="E41" s="12" t="s">
        <v>1087</v>
      </c>
      <c r="F41" s="12" t="s">
        <v>1040</v>
      </c>
      <c r="G41" s="12" t="s">
        <v>1028</v>
      </c>
      <c r="H41" s="12" t="s">
        <v>140</v>
      </c>
      <c r="I41" s="12" t="str">
        <f t="shared" si="1"/>
        <v>XR-C-TE0008|required|XR-P-TE0028</v>
      </c>
    </row>
    <row r="42" spans="1:9" s="11" customFormat="1" ht="21.95" customHeight="1">
      <c r="A42" s="12" t="s">
        <v>1088</v>
      </c>
      <c r="B42" s="12" t="s">
        <v>134</v>
      </c>
      <c r="C42" s="12" t="s">
        <v>1026</v>
      </c>
      <c r="D42" s="12"/>
      <c r="E42" s="12" t="s">
        <v>1042</v>
      </c>
      <c r="F42" s="12" t="s">
        <v>1027</v>
      </c>
      <c r="G42" s="12" t="s">
        <v>1028</v>
      </c>
      <c r="H42" s="12" t="s">
        <v>140</v>
      </c>
      <c r="I42" s="12" t="str">
        <f t="shared" si="1"/>
        <v>XR-C-TE0008|required|XR-P-PR0006</v>
      </c>
    </row>
    <row r="43" spans="1:9" s="11" customFormat="1" ht="21.95" customHeight="1">
      <c r="A43" s="12" t="s">
        <v>1089</v>
      </c>
      <c r="B43" s="12" t="s">
        <v>134</v>
      </c>
      <c r="C43" s="12" t="s">
        <v>1026</v>
      </c>
      <c r="D43" s="12"/>
      <c r="E43" s="12" t="s">
        <v>11</v>
      </c>
      <c r="F43" s="12" t="s">
        <v>1027</v>
      </c>
      <c r="G43" s="12" t="s">
        <v>1028</v>
      </c>
      <c r="H43" s="12" t="s">
        <v>140</v>
      </c>
      <c r="I43" s="12" t="str">
        <f t="shared" si="1"/>
        <v>XR-C-TE0008|required|XR-P-PR0014</v>
      </c>
    </row>
    <row r="44" spans="1:9" s="11" customFormat="1" ht="21.95" customHeight="1">
      <c r="A44" s="12" t="s">
        <v>1090</v>
      </c>
      <c r="B44" s="12" t="s">
        <v>134</v>
      </c>
      <c r="C44" s="12" t="s">
        <v>936</v>
      </c>
      <c r="D44" s="12"/>
      <c r="E44" s="12" t="s">
        <v>1091</v>
      </c>
      <c r="F44" s="12" t="s">
        <v>1040</v>
      </c>
      <c r="G44" s="12" t="s">
        <v>1032</v>
      </c>
      <c r="H44" s="12" t="s">
        <v>140</v>
      </c>
      <c r="I44" s="12" t="str">
        <f t="shared" si="1"/>
        <v>XR-C-TE0008|optional|XR-P-TE0024</v>
      </c>
    </row>
    <row r="45" spans="1:9" s="11" customFormat="1" ht="21.95" customHeight="1">
      <c r="A45" s="12" t="s">
        <v>1092</v>
      </c>
      <c r="B45" s="12" t="s">
        <v>134</v>
      </c>
      <c r="C45" s="12" t="s">
        <v>936</v>
      </c>
      <c r="D45" s="12"/>
      <c r="E45" s="12" t="s">
        <v>1036</v>
      </c>
      <c r="F45" s="12" t="s">
        <v>1037</v>
      </c>
      <c r="G45" s="12" t="s">
        <v>1032</v>
      </c>
      <c r="H45" s="12" t="s">
        <v>140</v>
      </c>
      <c r="I45" s="12" t="str">
        <f t="shared" si="1"/>
        <v>XR-C-TE0008|optional|XR-P-SP0003</v>
      </c>
    </row>
    <row r="46" spans="1:9" s="11" customFormat="1" ht="21.95" customHeight="1">
      <c r="A46" s="12" t="s">
        <v>1093</v>
      </c>
      <c r="B46" s="12" t="s">
        <v>141</v>
      </c>
      <c r="C46" s="12" t="s">
        <v>1026</v>
      </c>
      <c r="D46" s="12"/>
      <c r="E46" s="12" t="s">
        <v>11</v>
      </c>
      <c r="F46" s="12" t="s">
        <v>1027</v>
      </c>
      <c r="G46" s="12" t="s">
        <v>1028</v>
      </c>
      <c r="H46" s="12" t="s">
        <v>147</v>
      </c>
      <c r="I46" s="12" t="str">
        <f t="shared" si="1"/>
        <v>XR-C-TE0009|required|XR-P-PR0014</v>
      </c>
    </row>
    <row r="47" spans="1:9" s="11" customFormat="1" ht="21.95" customHeight="1">
      <c r="A47" s="12" t="s">
        <v>1094</v>
      </c>
      <c r="B47" s="12" t="s">
        <v>141</v>
      </c>
      <c r="C47" s="12" t="s">
        <v>1095</v>
      </c>
      <c r="D47" s="12">
        <v>1</v>
      </c>
      <c r="E47" s="12" t="s">
        <v>1045</v>
      </c>
      <c r="F47" s="12" t="s">
        <v>1040</v>
      </c>
      <c r="G47" s="12" t="s">
        <v>1096</v>
      </c>
      <c r="H47" s="12" t="s">
        <v>147</v>
      </c>
      <c r="I47" s="12" t="str">
        <f t="shared" si="1"/>
        <v>XR-C-TE0009|alternative|XR-P-TE0002</v>
      </c>
    </row>
    <row r="48" spans="1:9" s="11" customFormat="1" ht="21.95" customHeight="1">
      <c r="A48" s="12" t="s">
        <v>1097</v>
      </c>
      <c r="B48" s="12" t="s">
        <v>141</v>
      </c>
      <c r="C48" s="12" t="s">
        <v>1095</v>
      </c>
      <c r="D48" s="12">
        <v>1</v>
      </c>
      <c r="E48" s="12" t="s">
        <v>1098</v>
      </c>
      <c r="F48" s="12" t="s">
        <v>1040</v>
      </c>
      <c r="G48" s="12" t="s">
        <v>1096</v>
      </c>
      <c r="H48" s="12" t="s">
        <v>147</v>
      </c>
      <c r="I48" s="12" t="str">
        <f t="shared" si="1"/>
        <v>XR-C-TE0009|alternative|XR-P-TE0003</v>
      </c>
    </row>
    <row r="49" spans="1:9" s="11" customFormat="1" ht="21.95" customHeight="1">
      <c r="A49" s="12" t="s">
        <v>1099</v>
      </c>
      <c r="B49" s="12" t="s">
        <v>141</v>
      </c>
      <c r="C49" s="12" t="s">
        <v>1095</v>
      </c>
      <c r="D49" s="12">
        <v>1</v>
      </c>
      <c r="E49" s="12" t="s">
        <v>1047</v>
      </c>
      <c r="F49" s="12" t="s">
        <v>1027</v>
      </c>
      <c r="G49" s="12" t="s">
        <v>1096</v>
      </c>
      <c r="H49" s="12" t="s">
        <v>147</v>
      </c>
      <c r="I49" s="12" t="str">
        <f t="shared" si="1"/>
        <v>XR-C-TE0009|alternative|XR-P-PR0007</v>
      </c>
    </row>
    <row r="50" spans="1:9" s="11" customFormat="1" ht="21.95" customHeight="1">
      <c r="A50" s="12" t="s">
        <v>1100</v>
      </c>
      <c r="B50" s="12" t="s">
        <v>141</v>
      </c>
      <c r="C50" s="12" t="s">
        <v>1095</v>
      </c>
      <c r="D50" s="12">
        <v>1</v>
      </c>
      <c r="E50" s="12" t="s">
        <v>1074</v>
      </c>
      <c r="F50" s="12" t="s">
        <v>1027</v>
      </c>
      <c r="G50" s="12" t="s">
        <v>1096</v>
      </c>
      <c r="H50" s="12" t="s">
        <v>147</v>
      </c>
      <c r="I50" s="12" t="str">
        <f t="shared" si="1"/>
        <v>XR-C-TE0009|alternative|XR-P-PR0008</v>
      </c>
    </row>
    <row r="51" spans="1:9" s="11" customFormat="1" ht="21.95" customHeight="1">
      <c r="A51" s="12" t="s">
        <v>1101</v>
      </c>
      <c r="B51" s="12" t="s">
        <v>148</v>
      </c>
      <c r="C51" s="12" t="s">
        <v>1026</v>
      </c>
      <c r="D51" s="12"/>
      <c r="E51" s="12" t="s">
        <v>1087</v>
      </c>
      <c r="F51" s="12" t="s">
        <v>1040</v>
      </c>
      <c r="G51" s="12" t="s">
        <v>1028</v>
      </c>
      <c r="H51" s="12" t="s">
        <v>153</v>
      </c>
      <c r="I51" s="12" t="str">
        <f t="shared" si="1"/>
        <v>XR-C-TE0010|required|XR-P-TE0028</v>
      </c>
    </row>
    <row r="52" spans="1:9" s="11" customFormat="1" ht="21.95" customHeight="1">
      <c r="A52" s="12" t="s">
        <v>1102</v>
      </c>
      <c r="B52" s="12" t="s">
        <v>148</v>
      </c>
      <c r="C52" s="12" t="s">
        <v>1026</v>
      </c>
      <c r="D52" s="12"/>
      <c r="E52" s="12" t="s">
        <v>1042</v>
      </c>
      <c r="F52" s="12" t="s">
        <v>1027</v>
      </c>
      <c r="G52" s="12" t="s">
        <v>1028</v>
      </c>
      <c r="H52" s="12" t="s">
        <v>153</v>
      </c>
      <c r="I52" s="12" t="str">
        <f t="shared" si="1"/>
        <v>XR-C-TE0010|required|XR-P-PR0006</v>
      </c>
    </row>
    <row r="53" spans="1:9" s="11" customFormat="1" ht="21.95" customHeight="1">
      <c r="A53" s="12" t="s">
        <v>1103</v>
      </c>
      <c r="B53" s="12" t="s">
        <v>148</v>
      </c>
      <c r="C53" s="12" t="s">
        <v>1026</v>
      </c>
      <c r="D53" s="12"/>
      <c r="E53" s="12" t="s">
        <v>1052</v>
      </c>
      <c r="F53" s="12" t="s">
        <v>1027</v>
      </c>
      <c r="G53" s="12" t="s">
        <v>1028</v>
      </c>
      <c r="H53" s="12" t="s">
        <v>153</v>
      </c>
      <c r="I53" s="12" t="str">
        <f t="shared" si="1"/>
        <v>XR-C-TE0010|required|XR-P-PR0018</v>
      </c>
    </row>
    <row r="54" spans="1:9" s="11" customFormat="1" ht="21.95" customHeight="1">
      <c r="A54" s="12" t="s">
        <v>1104</v>
      </c>
      <c r="B54" s="12" t="s">
        <v>148</v>
      </c>
      <c r="C54" s="12" t="s">
        <v>1026</v>
      </c>
      <c r="D54" s="12"/>
      <c r="E54" s="12" t="s">
        <v>11</v>
      </c>
      <c r="F54" s="12" t="s">
        <v>1027</v>
      </c>
      <c r="G54" s="12" t="s">
        <v>1028</v>
      </c>
      <c r="H54" s="12" t="s">
        <v>153</v>
      </c>
      <c r="I54" s="12" t="str">
        <f t="shared" si="1"/>
        <v>XR-C-TE0010|required|XR-P-PR0014</v>
      </c>
    </row>
    <row r="55" spans="1:9" s="11" customFormat="1" ht="21.95" customHeight="1">
      <c r="A55" s="12" t="s">
        <v>1105</v>
      </c>
      <c r="B55" s="12" t="s">
        <v>154</v>
      </c>
      <c r="C55" s="12" t="s">
        <v>1026</v>
      </c>
      <c r="D55" s="12"/>
      <c r="E55" s="12" t="s">
        <v>1042</v>
      </c>
      <c r="F55" s="12" t="s">
        <v>1027</v>
      </c>
      <c r="G55" s="12" t="s">
        <v>1028</v>
      </c>
      <c r="H55" s="12" t="s">
        <v>159</v>
      </c>
      <c r="I55" s="12" t="str">
        <f t="shared" si="1"/>
        <v>XR-C-TE0011|required|XR-P-PR0006</v>
      </c>
    </row>
    <row r="56" spans="1:9" s="11" customFormat="1" ht="21.95" customHeight="1">
      <c r="A56" s="12" t="s">
        <v>1106</v>
      </c>
      <c r="B56" s="12" t="s">
        <v>154</v>
      </c>
      <c r="C56" s="12" t="s">
        <v>1026</v>
      </c>
      <c r="D56" s="12"/>
      <c r="E56" s="12" t="s">
        <v>11</v>
      </c>
      <c r="F56" s="12" t="s">
        <v>1027</v>
      </c>
      <c r="G56" s="12" t="s">
        <v>1028</v>
      </c>
      <c r="H56" s="12" t="s">
        <v>159</v>
      </c>
      <c r="I56" s="12" t="str">
        <f t="shared" si="1"/>
        <v>XR-C-TE0011|required|XR-P-PR0014</v>
      </c>
    </row>
    <row r="57" spans="1:9" s="11" customFormat="1" ht="21.95" customHeight="1">
      <c r="A57" s="12" t="s">
        <v>1107</v>
      </c>
      <c r="B57" s="12" t="s">
        <v>154</v>
      </c>
      <c r="C57" s="12" t="s">
        <v>936</v>
      </c>
      <c r="D57" s="12"/>
      <c r="E57" s="12" t="s">
        <v>1091</v>
      </c>
      <c r="F57" s="12" t="s">
        <v>1040</v>
      </c>
      <c r="G57" s="12" t="s">
        <v>1032</v>
      </c>
      <c r="H57" s="12" t="s">
        <v>159</v>
      </c>
      <c r="I57" s="12" t="str">
        <f t="shared" si="1"/>
        <v>XR-C-TE0011|optional|XR-P-TE0024</v>
      </c>
    </row>
    <row r="58" spans="1:9" s="11" customFormat="1" ht="21.95" customHeight="1">
      <c r="A58" s="12" t="s">
        <v>1108</v>
      </c>
      <c r="B58" s="12" t="s">
        <v>154</v>
      </c>
      <c r="C58" s="12" t="s">
        <v>936</v>
      </c>
      <c r="D58" s="12"/>
      <c r="E58" s="12" t="s">
        <v>1036</v>
      </c>
      <c r="F58" s="12" t="s">
        <v>1037</v>
      </c>
      <c r="G58" s="12" t="s">
        <v>1032</v>
      </c>
      <c r="H58" s="12" t="s">
        <v>159</v>
      </c>
      <c r="I58" s="12" t="str">
        <f t="shared" si="1"/>
        <v>XR-C-TE0011|optional|XR-P-SP0003</v>
      </c>
    </row>
    <row r="59" spans="1:9" s="11" customFormat="1" ht="21.95" customHeight="1">
      <c r="A59" s="12" t="s">
        <v>1109</v>
      </c>
      <c r="B59" s="12" t="s">
        <v>160</v>
      </c>
      <c r="C59" s="12" t="s">
        <v>1026</v>
      </c>
      <c r="D59" s="12"/>
      <c r="E59" s="12" t="s">
        <v>1039</v>
      </c>
      <c r="F59" s="12" t="s">
        <v>1040</v>
      </c>
      <c r="G59" s="12" t="s">
        <v>1028</v>
      </c>
      <c r="H59" s="12" t="s">
        <v>166</v>
      </c>
      <c r="I59" s="12" t="str">
        <f t="shared" si="1"/>
        <v>XR-C-TE0012|required|XR-P-TE0001</v>
      </c>
    </row>
    <row r="60" spans="1:9" s="11" customFormat="1" ht="21.95" customHeight="1">
      <c r="A60" s="12" t="s">
        <v>1110</v>
      </c>
      <c r="B60" s="12" t="s">
        <v>160</v>
      </c>
      <c r="C60" s="12" t="s">
        <v>1026</v>
      </c>
      <c r="D60" s="12"/>
      <c r="E60" s="12" t="s">
        <v>1042</v>
      </c>
      <c r="F60" s="12" t="s">
        <v>1027</v>
      </c>
      <c r="G60" s="12" t="s">
        <v>1028</v>
      </c>
      <c r="H60" s="12" t="s">
        <v>166</v>
      </c>
      <c r="I60" s="12" t="str">
        <f t="shared" si="1"/>
        <v>XR-C-TE0012|required|XR-P-PR0006</v>
      </c>
    </row>
    <row r="61" spans="1:9" s="11" customFormat="1" ht="21.95" customHeight="1">
      <c r="A61" s="12" t="s">
        <v>1111</v>
      </c>
      <c r="B61" s="12" t="s">
        <v>160</v>
      </c>
      <c r="C61" s="12" t="s">
        <v>1026</v>
      </c>
      <c r="D61" s="12"/>
      <c r="E61" s="12" t="s">
        <v>11</v>
      </c>
      <c r="F61" s="12" t="s">
        <v>1027</v>
      </c>
      <c r="G61" s="12" t="s">
        <v>1028</v>
      </c>
      <c r="H61" s="12" t="s">
        <v>166</v>
      </c>
      <c r="I61" s="12" t="str">
        <f t="shared" si="1"/>
        <v>XR-C-TE0012|required|XR-P-PR0014</v>
      </c>
    </row>
    <row r="62" spans="1:9" s="11" customFormat="1" ht="21.95" customHeight="1">
      <c r="A62" s="12" t="s">
        <v>1112</v>
      </c>
      <c r="B62" s="12" t="s">
        <v>160</v>
      </c>
      <c r="C62" s="12" t="s">
        <v>936</v>
      </c>
      <c r="D62" s="12"/>
      <c r="E62" s="12" t="s">
        <v>1113</v>
      </c>
      <c r="F62" s="12" t="s">
        <v>1040</v>
      </c>
      <c r="G62" s="12" t="s">
        <v>1032</v>
      </c>
      <c r="H62" s="12" t="s">
        <v>166</v>
      </c>
      <c r="I62" s="12" t="str">
        <f t="shared" si="1"/>
        <v>XR-C-TE0012|optional|XR-P-TE0026</v>
      </c>
    </row>
    <row r="63" spans="1:9" s="11" customFormat="1" ht="21.95" customHeight="1">
      <c r="A63" s="12" t="s">
        <v>1114</v>
      </c>
      <c r="B63" s="12" t="s">
        <v>160</v>
      </c>
      <c r="C63" s="12" t="s">
        <v>936</v>
      </c>
      <c r="D63" s="12"/>
      <c r="E63" s="12" t="s">
        <v>1087</v>
      </c>
      <c r="F63" s="12" t="s">
        <v>1040</v>
      </c>
      <c r="G63" s="12" t="s">
        <v>1032</v>
      </c>
      <c r="H63" s="12" t="s">
        <v>166</v>
      </c>
      <c r="I63" s="12" t="str">
        <f t="shared" si="1"/>
        <v>XR-C-TE0012|optional|XR-P-TE0028</v>
      </c>
    </row>
    <row r="64" spans="1:9" s="11" customFormat="1" ht="21.95" customHeight="1">
      <c r="A64" s="12" t="s">
        <v>1115</v>
      </c>
      <c r="B64" s="12" t="s">
        <v>167</v>
      </c>
      <c r="C64" s="12" t="s">
        <v>1026</v>
      </c>
      <c r="D64" s="12"/>
      <c r="E64" s="12" t="s">
        <v>1039</v>
      </c>
      <c r="F64" s="12" t="s">
        <v>1040</v>
      </c>
      <c r="G64" s="12" t="s">
        <v>1028</v>
      </c>
      <c r="H64" s="12" t="s">
        <v>173</v>
      </c>
      <c r="I64" s="12" t="str">
        <f t="shared" si="1"/>
        <v>XR-C-TE0013|required|XR-P-TE0001</v>
      </c>
    </row>
    <row r="65" spans="1:9" s="11" customFormat="1" ht="21.95" customHeight="1">
      <c r="A65" s="12" t="s">
        <v>1116</v>
      </c>
      <c r="B65" s="12" t="s">
        <v>167</v>
      </c>
      <c r="C65" s="12" t="s">
        <v>1026</v>
      </c>
      <c r="D65" s="12"/>
      <c r="E65" s="12" t="s">
        <v>1042</v>
      </c>
      <c r="F65" s="12" t="s">
        <v>1027</v>
      </c>
      <c r="G65" s="12" t="s">
        <v>1028</v>
      </c>
      <c r="H65" s="12" t="s">
        <v>173</v>
      </c>
      <c r="I65" s="12" t="str">
        <f t="shared" si="1"/>
        <v>XR-C-TE0013|required|XR-P-PR0006</v>
      </c>
    </row>
    <row r="66" spans="1:9" s="11" customFormat="1" ht="21.95" customHeight="1">
      <c r="A66" s="12" t="s">
        <v>1117</v>
      </c>
      <c r="B66" s="12" t="s">
        <v>167</v>
      </c>
      <c r="C66" s="12" t="s">
        <v>1026</v>
      </c>
      <c r="D66" s="12"/>
      <c r="E66" s="12" t="s">
        <v>11</v>
      </c>
      <c r="F66" s="12" t="s">
        <v>1027</v>
      </c>
      <c r="G66" s="12" t="s">
        <v>1028</v>
      </c>
      <c r="H66" s="12" t="s">
        <v>173</v>
      </c>
      <c r="I66" s="12" t="str">
        <f t="shared" si="1"/>
        <v>XR-C-TE0013|required|XR-P-PR0014</v>
      </c>
    </row>
    <row r="67" spans="1:9" s="11" customFormat="1" ht="21.95" customHeight="1">
      <c r="A67" s="12" t="s">
        <v>1118</v>
      </c>
      <c r="B67" s="12" t="s">
        <v>167</v>
      </c>
      <c r="C67" s="12" t="s">
        <v>936</v>
      </c>
      <c r="D67" s="12"/>
      <c r="E67" s="12" t="s">
        <v>1049</v>
      </c>
      <c r="F67" s="12" t="s">
        <v>1040</v>
      </c>
      <c r="G67" s="12" t="s">
        <v>1032</v>
      </c>
      <c r="H67" s="12" t="s">
        <v>173</v>
      </c>
      <c r="I67" s="12" t="str">
        <f t="shared" si="1"/>
        <v>XR-C-TE0013|optional|XR-P-TE0013</v>
      </c>
    </row>
    <row r="68" spans="1:9" s="11" customFormat="1" ht="21.95" customHeight="1">
      <c r="A68" s="12" t="s">
        <v>1119</v>
      </c>
      <c r="B68" s="12" t="s">
        <v>167</v>
      </c>
      <c r="C68" s="12" t="s">
        <v>936</v>
      </c>
      <c r="D68" s="12"/>
      <c r="E68" s="12" t="s">
        <v>1052</v>
      </c>
      <c r="F68" s="12" t="s">
        <v>1027</v>
      </c>
      <c r="G68" s="12" t="s">
        <v>1032</v>
      </c>
      <c r="H68" s="12" t="s">
        <v>173</v>
      </c>
      <c r="I68" s="12" t="str">
        <f t="shared" si="1"/>
        <v>XR-C-TE0013|optional|XR-P-PR0018</v>
      </c>
    </row>
    <row r="69" spans="1:9" s="11" customFormat="1" ht="21.95" customHeight="1">
      <c r="A69" s="12" t="s">
        <v>1120</v>
      </c>
      <c r="B69" s="12" t="s">
        <v>174</v>
      </c>
      <c r="C69" s="12" t="s">
        <v>1026</v>
      </c>
      <c r="D69" s="12"/>
      <c r="E69" s="12" t="s">
        <v>1113</v>
      </c>
      <c r="F69" s="12" t="s">
        <v>1040</v>
      </c>
      <c r="G69" s="12" t="s">
        <v>1028</v>
      </c>
      <c r="H69" s="12" t="s">
        <v>180</v>
      </c>
      <c r="I69" s="12" t="str">
        <f t="shared" ref="I69:I100" si="2">B69&amp;"|"&amp;C69&amp;"|"&amp;E69</f>
        <v>XR-C-TE0014|required|XR-P-TE0026</v>
      </c>
    </row>
    <row r="70" spans="1:9" s="11" customFormat="1" ht="21.95" customHeight="1">
      <c r="A70" s="12" t="s">
        <v>1121</v>
      </c>
      <c r="B70" s="12" t="s">
        <v>174</v>
      </c>
      <c r="C70" s="12" t="s">
        <v>1026</v>
      </c>
      <c r="D70" s="12"/>
      <c r="E70" s="12" t="s">
        <v>1042</v>
      </c>
      <c r="F70" s="12" t="s">
        <v>1027</v>
      </c>
      <c r="G70" s="12" t="s">
        <v>1028</v>
      </c>
      <c r="H70" s="12" t="s">
        <v>180</v>
      </c>
      <c r="I70" s="12" t="str">
        <f t="shared" si="2"/>
        <v>XR-C-TE0014|required|XR-P-PR0006</v>
      </c>
    </row>
    <row r="71" spans="1:9" s="11" customFormat="1" ht="21.95" customHeight="1">
      <c r="A71" s="12" t="s">
        <v>1122</v>
      </c>
      <c r="B71" s="12" t="s">
        <v>174</v>
      </c>
      <c r="C71" s="12" t="s">
        <v>1026</v>
      </c>
      <c r="D71" s="12"/>
      <c r="E71" s="12" t="s">
        <v>1052</v>
      </c>
      <c r="F71" s="12" t="s">
        <v>1027</v>
      </c>
      <c r="G71" s="12" t="s">
        <v>1028</v>
      </c>
      <c r="H71" s="12" t="s">
        <v>180</v>
      </c>
      <c r="I71" s="12" t="str">
        <f t="shared" si="2"/>
        <v>XR-C-TE0014|required|XR-P-PR0018</v>
      </c>
    </row>
    <row r="72" spans="1:9" s="11" customFormat="1" ht="21.95" customHeight="1">
      <c r="A72" s="12" t="s">
        <v>1123</v>
      </c>
      <c r="B72" s="12" t="s">
        <v>174</v>
      </c>
      <c r="C72" s="12" t="s">
        <v>1026</v>
      </c>
      <c r="D72" s="12"/>
      <c r="E72" s="12" t="s">
        <v>11</v>
      </c>
      <c r="F72" s="12" t="s">
        <v>1027</v>
      </c>
      <c r="G72" s="12" t="s">
        <v>1028</v>
      </c>
      <c r="H72" s="12" t="s">
        <v>180</v>
      </c>
      <c r="I72" s="12" t="str">
        <f t="shared" si="2"/>
        <v>XR-C-TE0014|required|XR-P-PR0014</v>
      </c>
    </row>
    <row r="73" spans="1:9" s="11" customFormat="1" ht="21.95" customHeight="1">
      <c r="A73" s="12" t="s">
        <v>1124</v>
      </c>
      <c r="B73" s="12" t="s">
        <v>181</v>
      </c>
      <c r="C73" s="12" t="s">
        <v>1026</v>
      </c>
      <c r="D73" s="12"/>
      <c r="E73" s="12" t="s">
        <v>1125</v>
      </c>
      <c r="F73" s="12" t="s">
        <v>1040</v>
      </c>
      <c r="G73" s="12" t="s">
        <v>1028</v>
      </c>
      <c r="H73" s="12" t="s">
        <v>187</v>
      </c>
      <c r="I73" s="12" t="str">
        <f t="shared" si="2"/>
        <v>XR-C-TE0015|required|XR-P-TE0023</v>
      </c>
    </row>
    <row r="74" spans="1:9" s="11" customFormat="1" ht="21.95" customHeight="1">
      <c r="A74" s="12" t="s">
        <v>1126</v>
      </c>
      <c r="B74" s="12" t="s">
        <v>181</v>
      </c>
      <c r="C74" s="12" t="s">
        <v>1026</v>
      </c>
      <c r="D74" s="12"/>
      <c r="E74" s="12" t="s">
        <v>1127</v>
      </c>
      <c r="F74" s="12" t="s">
        <v>1027</v>
      </c>
      <c r="G74" s="12" t="s">
        <v>1028</v>
      </c>
      <c r="H74" s="12" t="s">
        <v>187</v>
      </c>
      <c r="I74" s="12" t="str">
        <f t="shared" si="2"/>
        <v>XR-C-TE0015|required|XR-P-PR0009</v>
      </c>
    </row>
    <row r="75" spans="1:9" s="11" customFormat="1" ht="21.95" customHeight="1">
      <c r="A75" s="12" t="s">
        <v>1128</v>
      </c>
      <c r="B75" s="12" t="s">
        <v>181</v>
      </c>
      <c r="C75" s="12" t="s">
        <v>1026</v>
      </c>
      <c r="D75" s="12"/>
      <c r="E75" s="12" t="s">
        <v>1052</v>
      </c>
      <c r="F75" s="12" t="s">
        <v>1027</v>
      </c>
      <c r="G75" s="12" t="s">
        <v>1028</v>
      </c>
      <c r="H75" s="12" t="s">
        <v>187</v>
      </c>
      <c r="I75" s="12" t="str">
        <f t="shared" si="2"/>
        <v>XR-C-TE0015|required|XR-P-PR0018</v>
      </c>
    </row>
    <row r="76" spans="1:9" s="11" customFormat="1" ht="21.95" customHeight="1">
      <c r="A76" s="12" t="s">
        <v>1129</v>
      </c>
      <c r="B76" s="12" t="s">
        <v>181</v>
      </c>
      <c r="C76" s="12" t="s">
        <v>1026</v>
      </c>
      <c r="D76" s="12"/>
      <c r="E76" s="12" t="s">
        <v>11</v>
      </c>
      <c r="F76" s="12" t="s">
        <v>1027</v>
      </c>
      <c r="G76" s="12" t="s">
        <v>1028</v>
      </c>
      <c r="H76" s="12" t="s">
        <v>187</v>
      </c>
      <c r="I76" s="12" t="str">
        <f t="shared" si="2"/>
        <v>XR-C-TE0015|required|XR-P-PR0014</v>
      </c>
    </row>
    <row r="77" spans="1:9" s="11" customFormat="1" ht="21.95" customHeight="1">
      <c r="A77" s="12" t="s">
        <v>1130</v>
      </c>
      <c r="B77" s="12" t="s">
        <v>181</v>
      </c>
      <c r="C77" s="12" t="s">
        <v>936</v>
      </c>
      <c r="D77" s="12"/>
      <c r="E77" s="12" t="s">
        <v>1131</v>
      </c>
      <c r="F77" s="12" t="s">
        <v>1040</v>
      </c>
      <c r="G77" s="12" t="s">
        <v>1032</v>
      </c>
      <c r="H77" s="12" t="s">
        <v>187</v>
      </c>
      <c r="I77" s="12" t="str">
        <f t="shared" si="2"/>
        <v>XR-C-TE0015|optional|XR-P-TE0004</v>
      </c>
    </row>
    <row r="78" spans="1:9" s="11" customFormat="1" ht="21.95" customHeight="1">
      <c r="A78" s="12" t="s">
        <v>1132</v>
      </c>
      <c r="B78" s="12" t="s">
        <v>188</v>
      </c>
      <c r="C78" s="12" t="s">
        <v>1026</v>
      </c>
      <c r="D78" s="12"/>
      <c r="E78" s="12" t="s">
        <v>1125</v>
      </c>
      <c r="F78" s="12" t="s">
        <v>1040</v>
      </c>
      <c r="G78" s="12" t="s">
        <v>1028</v>
      </c>
      <c r="H78" s="12" t="s">
        <v>193</v>
      </c>
      <c r="I78" s="12" t="str">
        <f t="shared" si="2"/>
        <v>XR-C-TE0016|required|XR-P-TE0023</v>
      </c>
    </row>
    <row r="79" spans="1:9" s="11" customFormat="1" ht="21.95" customHeight="1">
      <c r="A79" s="12" t="s">
        <v>1133</v>
      </c>
      <c r="B79" s="12" t="s">
        <v>188</v>
      </c>
      <c r="C79" s="12" t="s">
        <v>1026</v>
      </c>
      <c r="D79" s="12"/>
      <c r="E79" s="12" t="s">
        <v>1127</v>
      </c>
      <c r="F79" s="12" t="s">
        <v>1027</v>
      </c>
      <c r="G79" s="12" t="s">
        <v>1028</v>
      </c>
      <c r="H79" s="12" t="s">
        <v>193</v>
      </c>
      <c r="I79" s="12" t="str">
        <f t="shared" si="2"/>
        <v>XR-C-TE0016|required|XR-P-PR0009</v>
      </c>
    </row>
    <row r="80" spans="1:9" s="11" customFormat="1" ht="21.95" customHeight="1">
      <c r="A80" s="12" t="s">
        <v>1134</v>
      </c>
      <c r="B80" s="12" t="s">
        <v>188</v>
      </c>
      <c r="C80" s="12" t="s">
        <v>1026</v>
      </c>
      <c r="D80" s="12"/>
      <c r="E80" s="12" t="s">
        <v>1052</v>
      </c>
      <c r="F80" s="12" t="s">
        <v>1027</v>
      </c>
      <c r="G80" s="12" t="s">
        <v>1028</v>
      </c>
      <c r="H80" s="12" t="s">
        <v>193</v>
      </c>
      <c r="I80" s="12" t="str">
        <f t="shared" si="2"/>
        <v>XR-C-TE0016|required|XR-P-PR0018</v>
      </c>
    </row>
    <row r="81" spans="1:9" s="11" customFormat="1" ht="21.95" customHeight="1">
      <c r="A81" s="12" t="s">
        <v>1135</v>
      </c>
      <c r="B81" s="12" t="s">
        <v>188</v>
      </c>
      <c r="C81" s="12" t="s">
        <v>1026</v>
      </c>
      <c r="D81" s="12"/>
      <c r="E81" s="12" t="s">
        <v>11</v>
      </c>
      <c r="F81" s="12" t="s">
        <v>1027</v>
      </c>
      <c r="G81" s="12" t="s">
        <v>1028</v>
      </c>
      <c r="H81" s="12" t="s">
        <v>193</v>
      </c>
      <c r="I81" s="12" t="str">
        <f t="shared" si="2"/>
        <v>XR-C-TE0016|required|XR-P-PR0014</v>
      </c>
    </row>
    <row r="82" spans="1:9" s="11" customFormat="1" ht="21.95" customHeight="1">
      <c r="A82" s="12" t="s">
        <v>1136</v>
      </c>
      <c r="B82" s="12" t="s">
        <v>188</v>
      </c>
      <c r="C82" s="12" t="s">
        <v>1095</v>
      </c>
      <c r="D82" s="12">
        <v>1</v>
      </c>
      <c r="E82" s="12" t="s">
        <v>1045</v>
      </c>
      <c r="F82" s="12" t="s">
        <v>1040</v>
      </c>
      <c r="G82" s="12" t="s">
        <v>1096</v>
      </c>
      <c r="H82" s="12" t="s">
        <v>193</v>
      </c>
      <c r="I82" s="12" t="str">
        <f t="shared" si="2"/>
        <v>XR-C-TE0016|alternative|XR-P-TE0002</v>
      </c>
    </row>
    <row r="83" spans="1:9" s="11" customFormat="1" ht="21.95" customHeight="1">
      <c r="A83" s="12" t="s">
        <v>1137</v>
      </c>
      <c r="B83" s="12" t="s">
        <v>188</v>
      </c>
      <c r="C83" s="12" t="s">
        <v>1095</v>
      </c>
      <c r="D83" s="12">
        <v>1</v>
      </c>
      <c r="E83" s="12" t="s">
        <v>1098</v>
      </c>
      <c r="F83" s="12" t="s">
        <v>1040</v>
      </c>
      <c r="G83" s="12" t="s">
        <v>1096</v>
      </c>
      <c r="H83" s="12" t="s">
        <v>193</v>
      </c>
      <c r="I83" s="12" t="str">
        <f t="shared" si="2"/>
        <v>XR-C-TE0016|alternative|XR-P-TE0003</v>
      </c>
    </row>
    <row r="84" spans="1:9" s="11" customFormat="1" ht="21.95" customHeight="1">
      <c r="A84" s="12" t="s">
        <v>1138</v>
      </c>
      <c r="B84" s="12" t="s">
        <v>188</v>
      </c>
      <c r="C84" s="12" t="s">
        <v>1095</v>
      </c>
      <c r="D84" s="12">
        <v>1</v>
      </c>
      <c r="E84" s="12" t="s">
        <v>1047</v>
      </c>
      <c r="F84" s="12" t="s">
        <v>1027</v>
      </c>
      <c r="G84" s="12" t="s">
        <v>1096</v>
      </c>
      <c r="H84" s="12" t="s">
        <v>193</v>
      </c>
      <c r="I84" s="12" t="str">
        <f t="shared" si="2"/>
        <v>XR-C-TE0016|alternative|XR-P-PR0007</v>
      </c>
    </row>
    <row r="85" spans="1:9" s="11" customFormat="1" ht="21.95" customHeight="1">
      <c r="A85" s="12" t="s">
        <v>1139</v>
      </c>
      <c r="B85" s="12" t="s">
        <v>188</v>
      </c>
      <c r="C85" s="12" t="s">
        <v>1095</v>
      </c>
      <c r="D85" s="12">
        <v>1</v>
      </c>
      <c r="E85" s="12" t="s">
        <v>1074</v>
      </c>
      <c r="F85" s="12" t="s">
        <v>1027</v>
      </c>
      <c r="G85" s="12" t="s">
        <v>1096</v>
      </c>
      <c r="H85" s="12" t="s">
        <v>193</v>
      </c>
      <c r="I85" s="12" t="str">
        <f t="shared" si="2"/>
        <v>XR-C-TE0016|alternative|XR-P-PR0008</v>
      </c>
    </row>
    <row r="86" spans="1:9" s="11" customFormat="1" ht="21.95" customHeight="1">
      <c r="A86" s="12" t="s">
        <v>1140</v>
      </c>
      <c r="B86" s="12" t="s">
        <v>194</v>
      </c>
      <c r="C86" s="12" t="s">
        <v>1026</v>
      </c>
      <c r="D86" s="12"/>
      <c r="E86" s="12" t="s">
        <v>1039</v>
      </c>
      <c r="F86" s="12" t="s">
        <v>1040</v>
      </c>
      <c r="G86" s="12" t="s">
        <v>1028</v>
      </c>
      <c r="H86" s="12" t="s">
        <v>199</v>
      </c>
      <c r="I86" s="12" t="str">
        <f t="shared" si="2"/>
        <v>XR-C-TE0017|required|XR-P-TE0001</v>
      </c>
    </row>
    <row r="87" spans="1:9" s="11" customFormat="1" ht="21.95" customHeight="1">
      <c r="A87" s="12" t="s">
        <v>1141</v>
      </c>
      <c r="B87" s="12" t="s">
        <v>194</v>
      </c>
      <c r="C87" s="12" t="s">
        <v>1026</v>
      </c>
      <c r="D87" s="12"/>
      <c r="E87" s="12" t="s">
        <v>1042</v>
      </c>
      <c r="F87" s="12" t="s">
        <v>1027</v>
      </c>
      <c r="G87" s="12" t="s">
        <v>1028</v>
      </c>
      <c r="H87" s="12" t="s">
        <v>199</v>
      </c>
      <c r="I87" s="12" t="str">
        <f t="shared" si="2"/>
        <v>XR-C-TE0017|required|XR-P-PR0006</v>
      </c>
    </row>
    <row r="88" spans="1:9" s="11" customFormat="1" ht="21.95" customHeight="1">
      <c r="A88" s="12" t="s">
        <v>1142</v>
      </c>
      <c r="B88" s="12" t="s">
        <v>194</v>
      </c>
      <c r="C88" s="12" t="s">
        <v>1026</v>
      </c>
      <c r="D88" s="12"/>
      <c r="E88" s="12" t="s">
        <v>11</v>
      </c>
      <c r="F88" s="12" t="s">
        <v>1027</v>
      </c>
      <c r="G88" s="12" t="s">
        <v>1028</v>
      </c>
      <c r="H88" s="12" t="s">
        <v>199</v>
      </c>
      <c r="I88" s="12" t="str">
        <f t="shared" si="2"/>
        <v>XR-C-TE0017|required|XR-P-PR0014</v>
      </c>
    </row>
    <row r="89" spans="1:9" s="11" customFormat="1" ht="21.95" customHeight="1">
      <c r="A89" s="12" t="s">
        <v>1143</v>
      </c>
      <c r="B89" s="12" t="s">
        <v>194</v>
      </c>
      <c r="C89" s="12" t="s">
        <v>936</v>
      </c>
      <c r="D89" s="12"/>
      <c r="E89" s="12" t="s">
        <v>1144</v>
      </c>
      <c r="F89" s="12" t="s">
        <v>1040</v>
      </c>
      <c r="G89" s="12" t="s">
        <v>1032</v>
      </c>
      <c r="H89" s="12" t="s">
        <v>199</v>
      </c>
      <c r="I89" s="12" t="str">
        <f t="shared" si="2"/>
        <v>XR-C-TE0017|optional|XR-P-TE0012</v>
      </c>
    </row>
    <row r="90" spans="1:9" s="11" customFormat="1" ht="21.95" customHeight="1">
      <c r="A90" s="12" t="s">
        <v>1145</v>
      </c>
      <c r="B90" s="12" t="s">
        <v>194</v>
      </c>
      <c r="C90" s="12" t="s">
        <v>936</v>
      </c>
      <c r="D90" s="12"/>
      <c r="E90" s="12" t="s">
        <v>1146</v>
      </c>
      <c r="F90" s="12" t="s">
        <v>1027</v>
      </c>
      <c r="G90" s="12" t="s">
        <v>1032</v>
      </c>
      <c r="H90" s="12" t="s">
        <v>199</v>
      </c>
      <c r="I90" s="12" t="str">
        <f t="shared" si="2"/>
        <v>XR-C-TE0017|optional|XR-P-PR0011</v>
      </c>
    </row>
    <row r="91" spans="1:9" s="11" customFormat="1" ht="21.95" customHeight="1">
      <c r="A91" s="12" t="s">
        <v>1147</v>
      </c>
      <c r="B91" s="12" t="s">
        <v>200</v>
      </c>
      <c r="C91" s="12" t="s">
        <v>1026</v>
      </c>
      <c r="D91" s="12"/>
      <c r="E91" s="12" t="s">
        <v>1052</v>
      </c>
      <c r="F91" s="12" t="s">
        <v>1027</v>
      </c>
      <c r="G91" s="12" t="s">
        <v>1028</v>
      </c>
      <c r="H91" s="12" t="s">
        <v>205</v>
      </c>
      <c r="I91" s="12" t="str">
        <f t="shared" si="2"/>
        <v>XR-C-TE0018|required|XR-P-PR0018</v>
      </c>
    </row>
    <row r="92" spans="1:9" s="11" customFormat="1" ht="21.95" customHeight="1">
      <c r="A92" s="12" t="s">
        <v>1148</v>
      </c>
      <c r="B92" s="12" t="s">
        <v>200</v>
      </c>
      <c r="C92" s="12" t="s">
        <v>1026</v>
      </c>
      <c r="D92" s="12"/>
      <c r="E92" s="12" t="s">
        <v>11</v>
      </c>
      <c r="F92" s="12" t="s">
        <v>1027</v>
      </c>
      <c r="G92" s="12" t="s">
        <v>1028</v>
      </c>
      <c r="H92" s="12" t="s">
        <v>205</v>
      </c>
      <c r="I92" s="12" t="str">
        <f t="shared" si="2"/>
        <v>XR-C-TE0018|required|XR-P-PR0014</v>
      </c>
    </row>
    <row r="93" spans="1:9" s="11" customFormat="1" ht="21.95" customHeight="1">
      <c r="A93" s="12" t="s">
        <v>1149</v>
      </c>
      <c r="B93" s="12" t="s">
        <v>200</v>
      </c>
      <c r="C93" s="12" t="s">
        <v>936</v>
      </c>
      <c r="D93" s="12"/>
      <c r="E93" s="12" t="s">
        <v>1049</v>
      </c>
      <c r="F93" s="12" t="s">
        <v>1040</v>
      </c>
      <c r="G93" s="12" t="s">
        <v>1032</v>
      </c>
      <c r="H93" s="12" t="s">
        <v>205</v>
      </c>
      <c r="I93" s="12" t="str">
        <f t="shared" si="2"/>
        <v>XR-C-TE0018|optional|XR-P-TE0013</v>
      </c>
    </row>
    <row r="94" spans="1:9" s="11" customFormat="1" ht="21.95" customHeight="1">
      <c r="A94" s="12" t="s">
        <v>1150</v>
      </c>
      <c r="B94" s="12" t="s">
        <v>200</v>
      </c>
      <c r="C94" s="12" t="s">
        <v>936</v>
      </c>
      <c r="D94" s="12"/>
      <c r="E94" s="12" t="s">
        <v>1055</v>
      </c>
      <c r="F94" s="12" t="s">
        <v>1040</v>
      </c>
      <c r="G94" s="12" t="s">
        <v>1032</v>
      </c>
      <c r="H94" s="12" t="s">
        <v>205</v>
      </c>
      <c r="I94" s="12" t="str">
        <f t="shared" si="2"/>
        <v>XR-C-TE0018|optional|XR-P-TE0011</v>
      </c>
    </row>
    <row r="95" spans="1:9" s="11" customFormat="1" ht="21.95" customHeight="1">
      <c r="A95" s="12" t="s">
        <v>1151</v>
      </c>
      <c r="B95" s="12" t="s">
        <v>206</v>
      </c>
      <c r="C95" s="12" t="s">
        <v>1026</v>
      </c>
      <c r="D95" s="12"/>
      <c r="E95" s="12" t="s">
        <v>1087</v>
      </c>
      <c r="F95" s="12" t="s">
        <v>1040</v>
      </c>
      <c r="G95" s="12" t="s">
        <v>1028</v>
      </c>
      <c r="H95" s="12" t="s">
        <v>212</v>
      </c>
      <c r="I95" s="12" t="str">
        <f t="shared" si="2"/>
        <v>XR-C-TE0019|required|XR-P-TE0028</v>
      </c>
    </row>
    <row r="96" spans="1:9" s="11" customFormat="1" ht="21.95" customHeight="1">
      <c r="A96" s="12" t="s">
        <v>1152</v>
      </c>
      <c r="B96" s="12" t="s">
        <v>206</v>
      </c>
      <c r="C96" s="12" t="s">
        <v>1026</v>
      </c>
      <c r="D96" s="12"/>
      <c r="E96" s="12" t="s">
        <v>1052</v>
      </c>
      <c r="F96" s="12" t="s">
        <v>1027</v>
      </c>
      <c r="G96" s="12" t="s">
        <v>1028</v>
      </c>
      <c r="H96" s="12" t="s">
        <v>212</v>
      </c>
      <c r="I96" s="12" t="str">
        <f t="shared" si="2"/>
        <v>XR-C-TE0019|required|XR-P-PR0018</v>
      </c>
    </row>
    <row r="97" spans="1:9" s="11" customFormat="1" ht="21.95" customHeight="1">
      <c r="A97" s="12" t="s">
        <v>1153</v>
      </c>
      <c r="B97" s="12" t="s">
        <v>206</v>
      </c>
      <c r="C97" s="12" t="s">
        <v>1026</v>
      </c>
      <c r="D97" s="12"/>
      <c r="E97" s="12" t="s">
        <v>11</v>
      </c>
      <c r="F97" s="12" t="s">
        <v>1027</v>
      </c>
      <c r="G97" s="12" t="s">
        <v>1028</v>
      </c>
      <c r="H97" s="12" t="s">
        <v>212</v>
      </c>
      <c r="I97" s="12" t="str">
        <f t="shared" si="2"/>
        <v>XR-C-TE0019|required|XR-P-PR0014</v>
      </c>
    </row>
    <row r="98" spans="1:9" s="11" customFormat="1" ht="21.95" customHeight="1">
      <c r="A98" s="12" t="s">
        <v>1154</v>
      </c>
      <c r="B98" s="12" t="s">
        <v>206</v>
      </c>
      <c r="C98" s="12" t="s">
        <v>936</v>
      </c>
      <c r="D98" s="12"/>
      <c r="E98" s="12" t="s">
        <v>1036</v>
      </c>
      <c r="F98" s="12" t="s">
        <v>1037</v>
      </c>
      <c r="G98" s="12" t="s">
        <v>1032</v>
      </c>
      <c r="H98" s="12" t="s">
        <v>212</v>
      </c>
      <c r="I98" s="12" t="str">
        <f t="shared" si="2"/>
        <v>XR-C-TE0019|optional|XR-P-SP0003</v>
      </c>
    </row>
    <row r="99" spans="1:9" s="11" customFormat="1" ht="21.95" customHeight="1">
      <c r="A99" s="12" t="s">
        <v>1155</v>
      </c>
      <c r="B99" s="12" t="s">
        <v>213</v>
      </c>
      <c r="C99" s="12" t="s">
        <v>1026</v>
      </c>
      <c r="D99" s="12"/>
      <c r="E99" s="12" t="s">
        <v>1087</v>
      </c>
      <c r="F99" s="12" t="s">
        <v>1040</v>
      </c>
      <c r="G99" s="12" t="s">
        <v>1028</v>
      </c>
      <c r="H99" s="12" t="s">
        <v>218</v>
      </c>
      <c r="I99" s="12" t="str">
        <f t="shared" si="2"/>
        <v>XR-C-TE0020|required|XR-P-TE0028</v>
      </c>
    </row>
    <row r="100" spans="1:9" s="11" customFormat="1" ht="21.95" customHeight="1">
      <c r="A100" s="12" t="s">
        <v>1156</v>
      </c>
      <c r="B100" s="12" t="s">
        <v>213</v>
      </c>
      <c r="C100" s="12" t="s">
        <v>1026</v>
      </c>
      <c r="D100" s="12"/>
      <c r="E100" s="12" t="s">
        <v>1042</v>
      </c>
      <c r="F100" s="12" t="s">
        <v>1027</v>
      </c>
      <c r="G100" s="12" t="s">
        <v>1028</v>
      </c>
      <c r="H100" s="12" t="s">
        <v>218</v>
      </c>
      <c r="I100" s="12" t="str">
        <f t="shared" si="2"/>
        <v>XR-C-TE0020|required|XR-P-PR0006</v>
      </c>
    </row>
    <row r="101" spans="1:9" s="11" customFormat="1" ht="21.95" customHeight="1">
      <c r="A101" s="12" t="s">
        <v>1157</v>
      </c>
      <c r="B101" s="12" t="s">
        <v>213</v>
      </c>
      <c r="C101" s="12" t="s">
        <v>1026</v>
      </c>
      <c r="D101" s="12"/>
      <c r="E101" s="12" t="s">
        <v>1052</v>
      </c>
      <c r="F101" s="12" t="s">
        <v>1027</v>
      </c>
      <c r="G101" s="12" t="s">
        <v>1028</v>
      </c>
      <c r="H101" s="12" t="s">
        <v>218</v>
      </c>
      <c r="I101" s="12" t="str">
        <f t="shared" ref="I101:I132" si="3">B101&amp;"|"&amp;C101&amp;"|"&amp;E101</f>
        <v>XR-C-TE0020|required|XR-P-PR0018</v>
      </c>
    </row>
    <row r="102" spans="1:9" s="11" customFormat="1" ht="21.95" customHeight="1">
      <c r="A102" s="12" t="s">
        <v>1158</v>
      </c>
      <c r="B102" s="12" t="s">
        <v>213</v>
      </c>
      <c r="C102" s="12" t="s">
        <v>1026</v>
      </c>
      <c r="D102" s="12"/>
      <c r="E102" s="12" t="s">
        <v>11</v>
      </c>
      <c r="F102" s="12" t="s">
        <v>1027</v>
      </c>
      <c r="G102" s="12" t="s">
        <v>1028</v>
      </c>
      <c r="H102" s="12" t="s">
        <v>218</v>
      </c>
      <c r="I102" s="12" t="str">
        <f t="shared" si="3"/>
        <v>XR-C-TE0020|required|XR-P-PR0014</v>
      </c>
    </row>
    <row r="103" spans="1:9" s="11" customFormat="1" ht="21.95" customHeight="1">
      <c r="A103" s="12" t="s">
        <v>1159</v>
      </c>
      <c r="B103" s="12" t="s">
        <v>219</v>
      </c>
      <c r="C103" s="12" t="s">
        <v>1026</v>
      </c>
      <c r="D103" s="12"/>
      <c r="E103" s="12" t="s">
        <v>1052</v>
      </c>
      <c r="F103" s="12" t="s">
        <v>1027</v>
      </c>
      <c r="G103" s="12" t="s">
        <v>1028</v>
      </c>
      <c r="H103" s="12" t="s">
        <v>225</v>
      </c>
      <c r="I103" s="12" t="str">
        <f t="shared" si="3"/>
        <v>XR-C-TE0021|required|XR-P-PR0018</v>
      </c>
    </row>
    <row r="104" spans="1:9" s="11" customFormat="1" ht="21.95" customHeight="1">
      <c r="A104" s="12" t="s">
        <v>1160</v>
      </c>
      <c r="B104" s="12" t="s">
        <v>219</v>
      </c>
      <c r="C104" s="12" t="s">
        <v>1026</v>
      </c>
      <c r="D104" s="12"/>
      <c r="E104" s="12" t="s">
        <v>11</v>
      </c>
      <c r="F104" s="12" t="s">
        <v>1027</v>
      </c>
      <c r="G104" s="12" t="s">
        <v>1028</v>
      </c>
      <c r="H104" s="12" t="s">
        <v>225</v>
      </c>
      <c r="I104" s="12" t="str">
        <f t="shared" si="3"/>
        <v>XR-C-TE0021|required|XR-P-PR0014</v>
      </c>
    </row>
    <row r="105" spans="1:9" s="11" customFormat="1" ht="21.95" customHeight="1">
      <c r="A105" s="12" t="s">
        <v>1161</v>
      </c>
      <c r="B105" s="12" t="s">
        <v>219</v>
      </c>
      <c r="C105" s="12" t="s">
        <v>936</v>
      </c>
      <c r="D105" s="12"/>
      <c r="E105" s="12" t="s">
        <v>1125</v>
      </c>
      <c r="F105" s="12" t="s">
        <v>1040</v>
      </c>
      <c r="G105" s="12" t="s">
        <v>1032</v>
      </c>
      <c r="H105" s="12" t="s">
        <v>225</v>
      </c>
      <c r="I105" s="12" t="str">
        <f t="shared" si="3"/>
        <v>XR-C-TE0021|optional|XR-P-TE0023</v>
      </c>
    </row>
    <row r="106" spans="1:9" s="11" customFormat="1" ht="21.95" customHeight="1">
      <c r="A106" s="12" t="s">
        <v>1162</v>
      </c>
      <c r="B106" s="12" t="s">
        <v>219</v>
      </c>
      <c r="C106" s="12" t="s">
        <v>936</v>
      </c>
      <c r="D106" s="12"/>
      <c r="E106" s="12" t="s">
        <v>1127</v>
      </c>
      <c r="F106" s="12" t="s">
        <v>1027</v>
      </c>
      <c r="G106" s="12" t="s">
        <v>1032</v>
      </c>
      <c r="H106" s="12" t="s">
        <v>225</v>
      </c>
      <c r="I106" s="12" t="str">
        <f t="shared" si="3"/>
        <v>XR-C-TE0021|optional|XR-P-PR0009</v>
      </c>
    </row>
    <row r="107" spans="1:9" s="11" customFormat="1" ht="21.95" customHeight="1">
      <c r="A107" s="12" t="s">
        <v>1163</v>
      </c>
      <c r="B107" s="12" t="s">
        <v>226</v>
      </c>
      <c r="C107" s="12" t="s">
        <v>1026</v>
      </c>
      <c r="D107" s="12"/>
      <c r="E107" s="12" t="s">
        <v>1042</v>
      </c>
      <c r="F107" s="12" t="s">
        <v>1027</v>
      </c>
      <c r="G107" s="12" t="s">
        <v>1028</v>
      </c>
      <c r="H107" s="12" t="s">
        <v>231</v>
      </c>
      <c r="I107" s="12" t="str">
        <f t="shared" si="3"/>
        <v>XR-C-TE0022|required|XR-P-PR0006</v>
      </c>
    </row>
    <row r="108" spans="1:9" s="11" customFormat="1" ht="21.95" customHeight="1">
      <c r="A108" s="12" t="s">
        <v>1164</v>
      </c>
      <c r="B108" s="12" t="s">
        <v>226</v>
      </c>
      <c r="C108" s="12" t="s">
        <v>1026</v>
      </c>
      <c r="D108" s="12"/>
      <c r="E108" s="12" t="s">
        <v>1052</v>
      </c>
      <c r="F108" s="12" t="s">
        <v>1027</v>
      </c>
      <c r="G108" s="12" t="s">
        <v>1028</v>
      </c>
      <c r="H108" s="12" t="s">
        <v>231</v>
      </c>
      <c r="I108" s="12" t="str">
        <f t="shared" si="3"/>
        <v>XR-C-TE0022|required|XR-P-PR0018</v>
      </c>
    </row>
    <row r="109" spans="1:9" s="11" customFormat="1" ht="21.95" customHeight="1">
      <c r="A109" s="12" t="s">
        <v>1165</v>
      </c>
      <c r="B109" s="12" t="s">
        <v>226</v>
      </c>
      <c r="C109" s="12" t="s">
        <v>1026</v>
      </c>
      <c r="D109" s="12"/>
      <c r="E109" s="12" t="s">
        <v>11</v>
      </c>
      <c r="F109" s="12" t="s">
        <v>1027</v>
      </c>
      <c r="G109" s="12" t="s">
        <v>1028</v>
      </c>
      <c r="H109" s="12" t="s">
        <v>231</v>
      </c>
      <c r="I109" s="12" t="str">
        <f t="shared" si="3"/>
        <v>XR-C-TE0022|required|XR-P-PR0014</v>
      </c>
    </row>
    <row r="110" spans="1:9" s="11" customFormat="1" ht="21.95" customHeight="1">
      <c r="A110" s="12" t="s">
        <v>1166</v>
      </c>
      <c r="B110" s="12" t="s">
        <v>226</v>
      </c>
      <c r="C110" s="12" t="s">
        <v>936</v>
      </c>
      <c r="D110" s="12"/>
      <c r="E110" s="12" t="s">
        <v>1125</v>
      </c>
      <c r="F110" s="12" t="s">
        <v>1040</v>
      </c>
      <c r="G110" s="12" t="s">
        <v>1032</v>
      </c>
      <c r="H110" s="12" t="s">
        <v>231</v>
      </c>
      <c r="I110" s="12" t="str">
        <f t="shared" si="3"/>
        <v>XR-C-TE0022|optional|XR-P-TE0023</v>
      </c>
    </row>
    <row r="111" spans="1:9" s="11" customFormat="1" ht="21.95" customHeight="1">
      <c r="A111" s="12" t="s">
        <v>1167</v>
      </c>
      <c r="B111" s="12" t="s">
        <v>226</v>
      </c>
      <c r="C111" s="12" t="s">
        <v>936</v>
      </c>
      <c r="D111" s="12"/>
      <c r="E111" s="12" t="s">
        <v>1127</v>
      </c>
      <c r="F111" s="12" t="s">
        <v>1027</v>
      </c>
      <c r="G111" s="12" t="s">
        <v>1032</v>
      </c>
      <c r="H111" s="12" t="s">
        <v>231</v>
      </c>
      <c r="I111" s="12" t="str">
        <f t="shared" si="3"/>
        <v>XR-C-TE0022|optional|XR-P-PR0009</v>
      </c>
    </row>
    <row r="112" spans="1:9" s="11" customFormat="1" ht="21.95" customHeight="1">
      <c r="A112" s="12" t="s">
        <v>1168</v>
      </c>
      <c r="B112" s="12" t="s">
        <v>232</v>
      </c>
      <c r="C112" s="12" t="s">
        <v>1026</v>
      </c>
      <c r="D112" s="12"/>
      <c r="E112" s="12" t="s">
        <v>1039</v>
      </c>
      <c r="F112" s="12" t="s">
        <v>1040</v>
      </c>
      <c r="G112" s="12" t="s">
        <v>1028</v>
      </c>
      <c r="H112" s="12" t="s">
        <v>238</v>
      </c>
      <c r="I112" s="12" t="str">
        <f t="shared" si="3"/>
        <v>XR-C-TE0023|required|XR-P-TE0001</v>
      </c>
    </row>
    <row r="113" spans="1:9" s="11" customFormat="1" ht="21.95" customHeight="1">
      <c r="A113" s="12" t="s">
        <v>1169</v>
      </c>
      <c r="B113" s="12" t="s">
        <v>232</v>
      </c>
      <c r="C113" s="12" t="s">
        <v>1026</v>
      </c>
      <c r="D113" s="12"/>
      <c r="E113" s="12" t="s">
        <v>1042</v>
      </c>
      <c r="F113" s="12" t="s">
        <v>1027</v>
      </c>
      <c r="G113" s="12" t="s">
        <v>1028</v>
      </c>
      <c r="H113" s="12" t="s">
        <v>238</v>
      </c>
      <c r="I113" s="12" t="str">
        <f t="shared" si="3"/>
        <v>XR-C-TE0023|required|XR-P-PR0006</v>
      </c>
    </row>
    <row r="114" spans="1:9" s="11" customFormat="1" ht="21.95" customHeight="1">
      <c r="A114" s="12" t="s">
        <v>1170</v>
      </c>
      <c r="B114" s="12" t="s">
        <v>232</v>
      </c>
      <c r="C114" s="12" t="s">
        <v>1026</v>
      </c>
      <c r="D114" s="12"/>
      <c r="E114" s="12" t="s">
        <v>11</v>
      </c>
      <c r="F114" s="12" t="s">
        <v>1027</v>
      </c>
      <c r="G114" s="12" t="s">
        <v>1028</v>
      </c>
      <c r="H114" s="12" t="s">
        <v>238</v>
      </c>
      <c r="I114" s="12" t="str">
        <f t="shared" si="3"/>
        <v>XR-C-TE0023|required|XR-P-PR0014</v>
      </c>
    </row>
    <row r="115" spans="1:9" s="11" customFormat="1" ht="21.95" customHeight="1">
      <c r="A115" s="12" t="s">
        <v>1171</v>
      </c>
      <c r="B115" s="12" t="s">
        <v>232</v>
      </c>
      <c r="C115" s="12" t="s">
        <v>936</v>
      </c>
      <c r="D115" s="12"/>
      <c r="E115" s="12" t="s">
        <v>1045</v>
      </c>
      <c r="F115" s="12" t="s">
        <v>1040</v>
      </c>
      <c r="G115" s="12" t="s">
        <v>1032</v>
      </c>
      <c r="H115" s="12" t="s">
        <v>238</v>
      </c>
      <c r="I115" s="12" t="str">
        <f t="shared" si="3"/>
        <v>XR-C-TE0023|optional|XR-P-TE0002</v>
      </c>
    </row>
    <row r="116" spans="1:9" s="11" customFormat="1" ht="21.95" customHeight="1">
      <c r="A116" s="12" t="s">
        <v>1172</v>
      </c>
      <c r="B116" s="12" t="s">
        <v>232</v>
      </c>
      <c r="C116" s="12" t="s">
        <v>936</v>
      </c>
      <c r="D116" s="12"/>
      <c r="E116" s="12" t="s">
        <v>1047</v>
      </c>
      <c r="F116" s="12" t="s">
        <v>1027</v>
      </c>
      <c r="G116" s="12" t="s">
        <v>1032</v>
      </c>
      <c r="H116" s="12" t="s">
        <v>238</v>
      </c>
      <c r="I116" s="12" t="str">
        <f t="shared" si="3"/>
        <v>XR-C-TE0023|optional|XR-P-PR0007</v>
      </c>
    </row>
    <row r="117" spans="1:9" s="11" customFormat="1" ht="21.95" customHeight="1">
      <c r="A117" s="12" t="s">
        <v>1173</v>
      </c>
      <c r="B117" s="12" t="s">
        <v>239</v>
      </c>
      <c r="C117" s="12" t="s">
        <v>1026</v>
      </c>
      <c r="D117" s="12"/>
      <c r="E117" s="12" t="s">
        <v>1087</v>
      </c>
      <c r="F117" s="12" t="s">
        <v>1040</v>
      </c>
      <c r="G117" s="12" t="s">
        <v>1028</v>
      </c>
      <c r="H117" s="12" t="s">
        <v>244</v>
      </c>
      <c r="I117" s="12" t="str">
        <f t="shared" si="3"/>
        <v>XR-C-TE0024|required|XR-P-TE0028</v>
      </c>
    </row>
    <row r="118" spans="1:9" s="11" customFormat="1" ht="21.95" customHeight="1">
      <c r="A118" s="12" t="s">
        <v>1174</v>
      </c>
      <c r="B118" s="12" t="s">
        <v>239</v>
      </c>
      <c r="C118" s="12" t="s">
        <v>1026</v>
      </c>
      <c r="D118" s="12"/>
      <c r="E118" s="12" t="s">
        <v>1042</v>
      </c>
      <c r="F118" s="12" t="s">
        <v>1027</v>
      </c>
      <c r="G118" s="12" t="s">
        <v>1028</v>
      </c>
      <c r="H118" s="12" t="s">
        <v>244</v>
      </c>
      <c r="I118" s="12" t="str">
        <f t="shared" si="3"/>
        <v>XR-C-TE0024|required|XR-P-PR0006</v>
      </c>
    </row>
    <row r="119" spans="1:9" s="11" customFormat="1" ht="21.95" customHeight="1">
      <c r="A119" s="12" t="s">
        <v>1175</v>
      </c>
      <c r="B119" s="12" t="s">
        <v>239</v>
      </c>
      <c r="C119" s="12" t="s">
        <v>1026</v>
      </c>
      <c r="D119" s="12"/>
      <c r="E119" s="12" t="s">
        <v>1052</v>
      </c>
      <c r="F119" s="12" t="s">
        <v>1027</v>
      </c>
      <c r="G119" s="12" t="s">
        <v>1028</v>
      </c>
      <c r="H119" s="12" t="s">
        <v>244</v>
      </c>
      <c r="I119" s="12" t="str">
        <f t="shared" si="3"/>
        <v>XR-C-TE0024|required|XR-P-PR0018</v>
      </c>
    </row>
    <row r="120" spans="1:9" s="11" customFormat="1" ht="21.95" customHeight="1">
      <c r="A120" s="12" t="s">
        <v>1176</v>
      </c>
      <c r="B120" s="12" t="s">
        <v>239</v>
      </c>
      <c r="C120" s="12" t="s">
        <v>1026</v>
      </c>
      <c r="D120" s="12"/>
      <c r="E120" s="12" t="s">
        <v>11</v>
      </c>
      <c r="F120" s="12" t="s">
        <v>1027</v>
      </c>
      <c r="G120" s="12" t="s">
        <v>1028</v>
      </c>
      <c r="H120" s="12" t="s">
        <v>244</v>
      </c>
      <c r="I120" s="12" t="str">
        <f t="shared" si="3"/>
        <v>XR-C-TE0024|required|XR-P-PR0014</v>
      </c>
    </row>
    <row r="121" spans="1:9" s="11" customFormat="1" ht="21.95" customHeight="1">
      <c r="A121" s="12" t="s">
        <v>1177</v>
      </c>
      <c r="B121" s="12" t="s">
        <v>239</v>
      </c>
      <c r="C121" s="12" t="s">
        <v>936</v>
      </c>
      <c r="D121" s="12"/>
      <c r="E121" s="12" t="s">
        <v>1178</v>
      </c>
      <c r="F121" s="12" t="s">
        <v>1040</v>
      </c>
      <c r="G121" s="12" t="s">
        <v>1032</v>
      </c>
      <c r="H121" s="12" t="s">
        <v>244</v>
      </c>
      <c r="I121" s="12" t="str">
        <f t="shared" si="3"/>
        <v>XR-C-TE0024|optional|XR-P-TE0025</v>
      </c>
    </row>
    <row r="122" spans="1:9" s="11" customFormat="1" ht="21.95" customHeight="1">
      <c r="A122" s="12" t="s">
        <v>1179</v>
      </c>
      <c r="B122" s="12" t="s">
        <v>245</v>
      </c>
      <c r="C122" s="12" t="s">
        <v>1026</v>
      </c>
      <c r="D122" s="12"/>
      <c r="E122" s="12" t="s">
        <v>11</v>
      </c>
      <c r="F122" s="12" t="s">
        <v>1027</v>
      </c>
      <c r="G122" s="12" t="s">
        <v>1028</v>
      </c>
      <c r="H122" s="12" t="s">
        <v>251</v>
      </c>
      <c r="I122" s="12" t="str">
        <f t="shared" si="3"/>
        <v>XR-C-TE0025|required|XR-P-PR0014</v>
      </c>
    </row>
    <row r="123" spans="1:9" s="11" customFormat="1" ht="21.95" customHeight="1">
      <c r="A123" s="12" t="s">
        <v>1180</v>
      </c>
      <c r="B123" s="12" t="s">
        <v>245</v>
      </c>
      <c r="C123" s="12" t="s">
        <v>1095</v>
      </c>
      <c r="D123" s="12">
        <v>1</v>
      </c>
      <c r="E123" s="12" t="s">
        <v>1045</v>
      </c>
      <c r="F123" s="12" t="s">
        <v>1040</v>
      </c>
      <c r="G123" s="12" t="s">
        <v>1096</v>
      </c>
      <c r="H123" s="12" t="s">
        <v>251</v>
      </c>
      <c r="I123" s="12" t="str">
        <f t="shared" si="3"/>
        <v>XR-C-TE0025|alternative|XR-P-TE0002</v>
      </c>
    </row>
    <row r="124" spans="1:9" s="11" customFormat="1" ht="21.95" customHeight="1">
      <c r="A124" s="12" t="s">
        <v>1181</v>
      </c>
      <c r="B124" s="12" t="s">
        <v>245</v>
      </c>
      <c r="C124" s="12" t="s">
        <v>1095</v>
      </c>
      <c r="D124" s="12">
        <v>1</v>
      </c>
      <c r="E124" s="12" t="s">
        <v>1098</v>
      </c>
      <c r="F124" s="12" t="s">
        <v>1040</v>
      </c>
      <c r="G124" s="12" t="s">
        <v>1096</v>
      </c>
      <c r="H124" s="12" t="s">
        <v>251</v>
      </c>
      <c r="I124" s="12" t="str">
        <f t="shared" si="3"/>
        <v>XR-C-TE0025|alternative|XR-P-TE0003</v>
      </c>
    </row>
    <row r="125" spans="1:9" s="11" customFormat="1" ht="21.95" customHeight="1">
      <c r="A125" s="12" t="s">
        <v>1182</v>
      </c>
      <c r="B125" s="12" t="s">
        <v>245</v>
      </c>
      <c r="C125" s="12" t="s">
        <v>1095</v>
      </c>
      <c r="D125" s="12">
        <v>1</v>
      </c>
      <c r="E125" s="12" t="s">
        <v>1047</v>
      </c>
      <c r="F125" s="12" t="s">
        <v>1027</v>
      </c>
      <c r="G125" s="12" t="s">
        <v>1096</v>
      </c>
      <c r="H125" s="12" t="s">
        <v>251</v>
      </c>
      <c r="I125" s="12" t="str">
        <f t="shared" si="3"/>
        <v>XR-C-TE0025|alternative|XR-P-PR0007</v>
      </c>
    </row>
    <row r="126" spans="1:9" s="11" customFormat="1" ht="21.95" customHeight="1">
      <c r="A126" s="12" t="s">
        <v>1183</v>
      </c>
      <c r="B126" s="12" t="s">
        <v>245</v>
      </c>
      <c r="C126" s="12" t="s">
        <v>1095</v>
      </c>
      <c r="D126" s="12">
        <v>1</v>
      </c>
      <c r="E126" s="12" t="s">
        <v>1074</v>
      </c>
      <c r="F126" s="12" t="s">
        <v>1027</v>
      </c>
      <c r="G126" s="12" t="s">
        <v>1096</v>
      </c>
      <c r="H126" s="12" t="s">
        <v>251</v>
      </c>
      <c r="I126" s="12" t="str">
        <f t="shared" si="3"/>
        <v>XR-C-TE0025|alternative|XR-P-PR0008</v>
      </c>
    </row>
    <row r="127" spans="1:9" s="11" customFormat="1" ht="21.95" customHeight="1">
      <c r="A127" s="12" t="s">
        <v>1184</v>
      </c>
      <c r="B127" s="12" t="s">
        <v>252</v>
      </c>
      <c r="C127" s="12" t="s">
        <v>1026</v>
      </c>
      <c r="D127" s="12"/>
      <c r="E127" s="12" t="s">
        <v>1042</v>
      </c>
      <c r="F127" s="12" t="s">
        <v>1027</v>
      </c>
      <c r="G127" s="12" t="s">
        <v>1028</v>
      </c>
      <c r="H127" s="12" t="s">
        <v>258</v>
      </c>
      <c r="I127" s="12" t="str">
        <f t="shared" si="3"/>
        <v>XR-C-TE0026|required|XR-P-PR0006</v>
      </c>
    </row>
    <row r="128" spans="1:9" s="11" customFormat="1" ht="21.95" customHeight="1">
      <c r="A128" s="12" t="s">
        <v>1185</v>
      </c>
      <c r="B128" s="12" t="s">
        <v>252</v>
      </c>
      <c r="C128" s="12" t="s">
        <v>1026</v>
      </c>
      <c r="D128" s="12"/>
      <c r="E128" s="12" t="s">
        <v>11</v>
      </c>
      <c r="F128" s="12" t="s">
        <v>1027</v>
      </c>
      <c r="G128" s="12" t="s">
        <v>1028</v>
      </c>
      <c r="H128" s="12" t="s">
        <v>258</v>
      </c>
      <c r="I128" s="12" t="str">
        <f t="shared" si="3"/>
        <v>XR-C-TE0026|required|XR-P-PR0014</v>
      </c>
    </row>
    <row r="129" spans="1:9" s="11" customFormat="1" ht="21.95" customHeight="1">
      <c r="A129" s="12" t="s">
        <v>1186</v>
      </c>
      <c r="B129" s="12" t="s">
        <v>252</v>
      </c>
      <c r="C129" s="12" t="s">
        <v>936</v>
      </c>
      <c r="D129" s="12"/>
      <c r="E129" s="12" t="s">
        <v>1144</v>
      </c>
      <c r="F129" s="12" t="s">
        <v>1040</v>
      </c>
      <c r="G129" s="12" t="s">
        <v>1032</v>
      </c>
      <c r="H129" s="12" t="s">
        <v>258</v>
      </c>
      <c r="I129" s="12" t="str">
        <f t="shared" si="3"/>
        <v>XR-C-TE0026|optional|XR-P-TE0012</v>
      </c>
    </row>
    <row r="130" spans="1:9" s="11" customFormat="1" ht="21.95" customHeight="1">
      <c r="A130" s="12" t="s">
        <v>1187</v>
      </c>
      <c r="B130" s="12" t="s">
        <v>252</v>
      </c>
      <c r="C130" s="12" t="s">
        <v>936</v>
      </c>
      <c r="D130" s="12"/>
      <c r="E130" s="12" t="s">
        <v>1146</v>
      </c>
      <c r="F130" s="12" t="s">
        <v>1027</v>
      </c>
      <c r="G130" s="12" t="s">
        <v>1032</v>
      </c>
      <c r="H130" s="12" t="s">
        <v>258</v>
      </c>
      <c r="I130" s="12" t="str">
        <f t="shared" si="3"/>
        <v>XR-C-TE0026|optional|XR-P-PR0011</v>
      </c>
    </row>
    <row r="131" spans="1:9" s="11" customFormat="1" ht="21.95" customHeight="1">
      <c r="A131" s="12" t="s">
        <v>1188</v>
      </c>
      <c r="B131" s="12" t="s">
        <v>252</v>
      </c>
      <c r="C131" s="12" t="s">
        <v>936</v>
      </c>
      <c r="D131" s="12"/>
      <c r="E131" s="12" t="s">
        <v>1045</v>
      </c>
      <c r="F131" s="12" t="s">
        <v>1040</v>
      </c>
      <c r="G131" s="12" t="s">
        <v>1032</v>
      </c>
      <c r="H131" s="12" t="s">
        <v>258</v>
      </c>
      <c r="I131" s="12" t="str">
        <f t="shared" si="3"/>
        <v>XR-C-TE0026|optional|XR-P-TE0002</v>
      </c>
    </row>
    <row r="132" spans="1:9" s="11" customFormat="1" ht="21.95" customHeight="1">
      <c r="A132" s="12" t="s">
        <v>1189</v>
      </c>
      <c r="B132" s="12" t="s">
        <v>252</v>
      </c>
      <c r="C132" s="12" t="s">
        <v>936</v>
      </c>
      <c r="D132" s="12"/>
      <c r="E132" s="12" t="s">
        <v>1047</v>
      </c>
      <c r="F132" s="12" t="s">
        <v>1027</v>
      </c>
      <c r="G132" s="12" t="s">
        <v>1032</v>
      </c>
      <c r="H132" s="12" t="s">
        <v>258</v>
      </c>
      <c r="I132" s="12" t="str">
        <f t="shared" si="3"/>
        <v>XR-C-TE0026|optional|XR-P-PR0007</v>
      </c>
    </row>
    <row r="133" spans="1:9" s="11" customFormat="1" ht="21.95" customHeight="1">
      <c r="A133" s="12" t="s">
        <v>1190</v>
      </c>
      <c r="B133" s="12" t="s">
        <v>259</v>
      </c>
      <c r="C133" s="12" t="s">
        <v>1026</v>
      </c>
      <c r="D133" s="12"/>
      <c r="E133" s="12" t="s">
        <v>1042</v>
      </c>
      <c r="F133" s="12" t="s">
        <v>1027</v>
      </c>
      <c r="G133" s="12" t="s">
        <v>1028</v>
      </c>
      <c r="H133" s="12" t="s">
        <v>264</v>
      </c>
      <c r="I133" s="12" t="str">
        <f t="shared" ref="I133:I164" si="4">B133&amp;"|"&amp;C133&amp;"|"&amp;E133</f>
        <v>XR-C-TE0027|required|XR-P-PR0006</v>
      </c>
    </row>
    <row r="134" spans="1:9" s="11" customFormat="1" ht="21.95" customHeight="1">
      <c r="A134" s="12" t="s">
        <v>1191</v>
      </c>
      <c r="B134" s="12" t="s">
        <v>259</v>
      </c>
      <c r="C134" s="12" t="s">
        <v>1026</v>
      </c>
      <c r="D134" s="12"/>
      <c r="E134" s="12" t="s">
        <v>11</v>
      </c>
      <c r="F134" s="12" t="s">
        <v>1027</v>
      </c>
      <c r="G134" s="12" t="s">
        <v>1028</v>
      </c>
      <c r="H134" s="12" t="s">
        <v>264</v>
      </c>
      <c r="I134" s="12" t="str">
        <f t="shared" si="4"/>
        <v>XR-C-TE0027|required|XR-P-PR0014</v>
      </c>
    </row>
    <row r="135" spans="1:9" s="11" customFormat="1" ht="21.95" customHeight="1">
      <c r="A135" s="12" t="s">
        <v>1192</v>
      </c>
      <c r="B135" s="12" t="s">
        <v>259</v>
      </c>
      <c r="C135" s="12" t="s">
        <v>1095</v>
      </c>
      <c r="D135" s="12">
        <v>1</v>
      </c>
      <c r="E135" s="12" t="s">
        <v>1045</v>
      </c>
      <c r="F135" s="12" t="s">
        <v>1040</v>
      </c>
      <c r="G135" s="12" t="s">
        <v>1096</v>
      </c>
      <c r="H135" s="12" t="s">
        <v>264</v>
      </c>
      <c r="I135" s="12" t="str">
        <f t="shared" si="4"/>
        <v>XR-C-TE0027|alternative|XR-P-TE0002</v>
      </c>
    </row>
    <row r="136" spans="1:9" s="11" customFormat="1" ht="21.95" customHeight="1">
      <c r="A136" s="12" t="s">
        <v>1193</v>
      </c>
      <c r="B136" s="12" t="s">
        <v>259</v>
      </c>
      <c r="C136" s="12" t="s">
        <v>1095</v>
      </c>
      <c r="D136" s="12">
        <v>1</v>
      </c>
      <c r="E136" s="12" t="s">
        <v>1098</v>
      </c>
      <c r="F136" s="12" t="s">
        <v>1040</v>
      </c>
      <c r="G136" s="12" t="s">
        <v>1096</v>
      </c>
      <c r="H136" s="12" t="s">
        <v>264</v>
      </c>
      <c r="I136" s="12" t="str">
        <f t="shared" si="4"/>
        <v>XR-C-TE0027|alternative|XR-P-TE0003</v>
      </c>
    </row>
    <row r="137" spans="1:9" s="11" customFormat="1" ht="21.95" customHeight="1">
      <c r="A137" s="12" t="s">
        <v>1194</v>
      </c>
      <c r="B137" s="12" t="s">
        <v>259</v>
      </c>
      <c r="C137" s="12" t="s">
        <v>1095</v>
      </c>
      <c r="D137" s="12">
        <v>1</v>
      </c>
      <c r="E137" s="12" t="s">
        <v>1047</v>
      </c>
      <c r="F137" s="12" t="s">
        <v>1027</v>
      </c>
      <c r="G137" s="12" t="s">
        <v>1096</v>
      </c>
      <c r="H137" s="12" t="s">
        <v>264</v>
      </c>
      <c r="I137" s="12" t="str">
        <f t="shared" si="4"/>
        <v>XR-C-TE0027|alternative|XR-P-PR0007</v>
      </c>
    </row>
    <row r="138" spans="1:9" s="11" customFormat="1" ht="21.95" customHeight="1">
      <c r="A138" s="12" t="s">
        <v>1195</v>
      </c>
      <c r="B138" s="12" t="s">
        <v>259</v>
      </c>
      <c r="C138" s="12" t="s">
        <v>1095</v>
      </c>
      <c r="D138" s="12">
        <v>1</v>
      </c>
      <c r="E138" s="12" t="s">
        <v>1074</v>
      </c>
      <c r="F138" s="12" t="s">
        <v>1027</v>
      </c>
      <c r="G138" s="12" t="s">
        <v>1096</v>
      </c>
      <c r="H138" s="12" t="s">
        <v>264</v>
      </c>
      <c r="I138" s="12" t="str">
        <f t="shared" si="4"/>
        <v>XR-C-TE0027|alternative|XR-P-PR0008</v>
      </c>
    </row>
    <row r="139" spans="1:9" s="11" customFormat="1" ht="21.95" customHeight="1">
      <c r="A139" s="12" t="s">
        <v>1196</v>
      </c>
      <c r="B139" s="12" t="s">
        <v>265</v>
      </c>
      <c r="C139" s="12" t="s">
        <v>1026</v>
      </c>
      <c r="D139" s="12"/>
      <c r="E139" s="12" t="s">
        <v>1091</v>
      </c>
      <c r="F139" s="12" t="s">
        <v>1040</v>
      </c>
      <c r="G139" s="12" t="s">
        <v>1028</v>
      </c>
      <c r="H139" s="12" t="s">
        <v>271</v>
      </c>
      <c r="I139" s="12" t="str">
        <f t="shared" si="4"/>
        <v>XR-C-TE0028|required|XR-P-TE0024</v>
      </c>
    </row>
    <row r="140" spans="1:9" s="11" customFormat="1" ht="21.95" customHeight="1">
      <c r="A140" s="12" t="s">
        <v>1197</v>
      </c>
      <c r="B140" s="12" t="s">
        <v>265</v>
      </c>
      <c r="C140" s="12" t="s">
        <v>1026</v>
      </c>
      <c r="D140" s="12"/>
      <c r="E140" s="12" t="s">
        <v>1036</v>
      </c>
      <c r="F140" s="12" t="s">
        <v>1037</v>
      </c>
      <c r="G140" s="12" t="s">
        <v>1028</v>
      </c>
      <c r="H140" s="12" t="s">
        <v>271</v>
      </c>
      <c r="I140" s="12" t="str">
        <f t="shared" si="4"/>
        <v>XR-C-TE0028|required|XR-P-SP0003</v>
      </c>
    </row>
    <row r="141" spans="1:9" s="11" customFormat="1" ht="21.95" customHeight="1">
      <c r="A141" s="12" t="s">
        <v>1198</v>
      </c>
      <c r="B141" s="12" t="s">
        <v>265</v>
      </c>
      <c r="C141" s="12" t="s">
        <v>1026</v>
      </c>
      <c r="D141" s="12"/>
      <c r="E141" s="12" t="s">
        <v>1199</v>
      </c>
      <c r="F141" s="12" t="s">
        <v>1027</v>
      </c>
      <c r="G141" s="12" t="s">
        <v>1028</v>
      </c>
      <c r="H141" s="12" t="s">
        <v>271</v>
      </c>
      <c r="I141" s="12" t="str">
        <f t="shared" si="4"/>
        <v>XR-C-TE0028|required|XR-P-PR0013</v>
      </c>
    </row>
    <row r="142" spans="1:9" s="11" customFormat="1" ht="21.95" customHeight="1">
      <c r="A142" s="12" t="s">
        <v>1200</v>
      </c>
      <c r="B142" s="12" t="s">
        <v>265</v>
      </c>
      <c r="C142" s="12" t="s">
        <v>1026</v>
      </c>
      <c r="D142" s="12"/>
      <c r="E142" s="12" t="s">
        <v>1042</v>
      </c>
      <c r="F142" s="12" t="s">
        <v>1027</v>
      </c>
      <c r="G142" s="12" t="s">
        <v>1028</v>
      </c>
      <c r="H142" s="12" t="s">
        <v>271</v>
      </c>
      <c r="I142" s="12" t="str">
        <f t="shared" si="4"/>
        <v>XR-C-TE0028|required|XR-P-PR0006</v>
      </c>
    </row>
    <row r="143" spans="1:9" s="11" customFormat="1" ht="21.95" customHeight="1">
      <c r="A143" s="12" t="s">
        <v>1201</v>
      </c>
      <c r="B143" s="12" t="s">
        <v>265</v>
      </c>
      <c r="C143" s="12" t="s">
        <v>1026</v>
      </c>
      <c r="D143" s="12"/>
      <c r="E143" s="12" t="s">
        <v>11</v>
      </c>
      <c r="F143" s="12" t="s">
        <v>1027</v>
      </c>
      <c r="G143" s="12" t="s">
        <v>1028</v>
      </c>
      <c r="H143" s="12" t="s">
        <v>271</v>
      </c>
      <c r="I143" s="12" t="str">
        <f t="shared" si="4"/>
        <v>XR-C-TE0028|required|XR-P-PR0014</v>
      </c>
    </row>
    <row r="144" spans="1:9" s="11" customFormat="1" ht="21.95" customHeight="1">
      <c r="A144" s="12" t="s">
        <v>1202</v>
      </c>
      <c r="B144" s="12" t="s">
        <v>272</v>
      </c>
      <c r="C144" s="12" t="s">
        <v>936</v>
      </c>
      <c r="D144" s="12"/>
      <c r="E144" s="12" t="s">
        <v>1203</v>
      </c>
      <c r="F144" s="12" t="s">
        <v>1040</v>
      </c>
      <c r="G144" s="12" t="s">
        <v>1032</v>
      </c>
      <c r="H144" s="12" t="s">
        <v>278</v>
      </c>
      <c r="I144" s="12" t="str">
        <f t="shared" si="4"/>
        <v>XR-C-TE0029|optional|XR-P-TE0027</v>
      </c>
    </row>
    <row r="145" spans="1:9" s="11" customFormat="1" ht="21.95" customHeight="1">
      <c r="A145" s="12" t="s">
        <v>1204</v>
      </c>
      <c r="B145" s="12" t="s">
        <v>272</v>
      </c>
      <c r="C145" s="12" t="s">
        <v>936</v>
      </c>
      <c r="D145" s="12"/>
      <c r="E145" s="12" t="s">
        <v>1052</v>
      </c>
      <c r="F145" s="12" t="s">
        <v>1027</v>
      </c>
      <c r="G145" s="12" t="s">
        <v>1032</v>
      </c>
      <c r="H145" s="12" t="s">
        <v>278</v>
      </c>
      <c r="I145" s="12" t="str">
        <f t="shared" si="4"/>
        <v>XR-C-TE0029|optional|XR-P-PR0018</v>
      </c>
    </row>
    <row r="146" spans="1:9" s="11" customFormat="1" ht="21.95" customHeight="1">
      <c r="A146" s="12" t="s">
        <v>1205</v>
      </c>
      <c r="B146" s="12" t="s">
        <v>272</v>
      </c>
      <c r="C146" s="12" t="s">
        <v>1095</v>
      </c>
      <c r="D146" s="12">
        <v>1</v>
      </c>
      <c r="E146" s="12" t="s">
        <v>1206</v>
      </c>
      <c r="F146" s="12" t="s">
        <v>1040</v>
      </c>
      <c r="G146" s="12" t="s">
        <v>1096</v>
      </c>
      <c r="H146" s="12" t="s">
        <v>278</v>
      </c>
      <c r="I146" s="12" t="str">
        <f t="shared" si="4"/>
        <v>XR-C-TE0029|alternative|XR-P-TE0020</v>
      </c>
    </row>
    <row r="147" spans="1:9" s="11" customFormat="1" ht="21.95" customHeight="1">
      <c r="A147" s="12" t="s">
        <v>1207</v>
      </c>
      <c r="B147" s="12" t="s">
        <v>272</v>
      </c>
      <c r="C147" s="12" t="s">
        <v>1095</v>
      </c>
      <c r="D147" s="12">
        <v>1</v>
      </c>
      <c r="E147" s="12" t="s">
        <v>1208</v>
      </c>
      <c r="F147" s="12" t="s">
        <v>1040</v>
      </c>
      <c r="G147" s="12" t="s">
        <v>1096</v>
      </c>
      <c r="H147" s="12" t="s">
        <v>278</v>
      </c>
      <c r="I147" s="12" t="str">
        <f t="shared" si="4"/>
        <v>XR-C-TE0029|alternative|XR-P-TE0015</v>
      </c>
    </row>
    <row r="148" spans="1:9" s="11" customFormat="1" ht="21.95" customHeight="1">
      <c r="A148" s="12" t="s">
        <v>1209</v>
      </c>
      <c r="B148" s="12" t="s">
        <v>272</v>
      </c>
      <c r="C148" s="12" t="s">
        <v>1095</v>
      </c>
      <c r="D148" s="12">
        <v>1</v>
      </c>
      <c r="E148" s="12" t="s">
        <v>1210</v>
      </c>
      <c r="F148" s="12" t="s">
        <v>1040</v>
      </c>
      <c r="G148" s="12" t="s">
        <v>1096</v>
      </c>
      <c r="H148" s="12" t="s">
        <v>278</v>
      </c>
      <c r="I148" s="12" t="str">
        <f t="shared" si="4"/>
        <v>XR-C-TE0029|alternative|XR-P-TE0021</v>
      </c>
    </row>
    <row r="149" spans="1:9" s="11" customFormat="1" ht="21.95" customHeight="1">
      <c r="A149" s="12" t="s">
        <v>1211</v>
      </c>
      <c r="B149" s="12" t="s">
        <v>272</v>
      </c>
      <c r="C149" s="12" t="s">
        <v>1095</v>
      </c>
      <c r="D149" s="12">
        <v>1</v>
      </c>
      <c r="E149" s="12" t="s">
        <v>1212</v>
      </c>
      <c r="F149" s="12" t="s">
        <v>1027</v>
      </c>
      <c r="G149" s="12" t="s">
        <v>1096</v>
      </c>
      <c r="H149" s="12" t="s">
        <v>278</v>
      </c>
      <c r="I149" s="12" t="str">
        <f t="shared" si="4"/>
        <v>XR-C-TE0029|alternative|XR-P-PR0004</v>
      </c>
    </row>
    <row r="150" spans="1:9" s="11" customFormat="1" ht="21.95" customHeight="1">
      <c r="A150" s="12" t="s">
        <v>1213</v>
      </c>
      <c r="B150" s="12" t="s">
        <v>272</v>
      </c>
      <c r="C150" s="12" t="s">
        <v>1095</v>
      </c>
      <c r="D150" s="12">
        <v>1</v>
      </c>
      <c r="E150" s="12" t="s">
        <v>1214</v>
      </c>
      <c r="F150" s="12" t="s">
        <v>1027</v>
      </c>
      <c r="G150" s="12" t="s">
        <v>1096</v>
      </c>
      <c r="H150" s="12" t="s">
        <v>278</v>
      </c>
      <c r="I150" s="12" t="str">
        <f t="shared" si="4"/>
        <v>XR-C-TE0029|alternative|XR-P-PR0003</v>
      </c>
    </row>
    <row r="151" spans="1:9" s="11" customFormat="1" ht="21.95" customHeight="1">
      <c r="A151" s="12" t="s">
        <v>1215</v>
      </c>
      <c r="B151" s="12" t="s">
        <v>272</v>
      </c>
      <c r="C151" s="12" t="s">
        <v>1095</v>
      </c>
      <c r="D151" s="12">
        <v>1</v>
      </c>
      <c r="E151" s="12" t="s">
        <v>1199</v>
      </c>
      <c r="F151" s="12" t="s">
        <v>1027</v>
      </c>
      <c r="G151" s="12" t="s">
        <v>1096</v>
      </c>
      <c r="H151" s="12" t="s">
        <v>278</v>
      </c>
      <c r="I151" s="12" t="str">
        <f t="shared" si="4"/>
        <v>XR-C-TE0029|alternative|XR-P-PR0013</v>
      </c>
    </row>
    <row r="152" spans="1:9" s="11" customFormat="1" ht="21.95" customHeight="1">
      <c r="A152" s="12" t="s">
        <v>1216</v>
      </c>
      <c r="B152" s="12" t="s">
        <v>272</v>
      </c>
      <c r="C152" s="12" t="s">
        <v>1095</v>
      </c>
      <c r="D152" s="12">
        <v>1</v>
      </c>
      <c r="E152" s="12" t="s">
        <v>1042</v>
      </c>
      <c r="F152" s="12" t="s">
        <v>1027</v>
      </c>
      <c r="G152" s="12" t="s">
        <v>1096</v>
      </c>
      <c r="H152" s="12" t="s">
        <v>278</v>
      </c>
      <c r="I152" s="12" t="str">
        <f t="shared" si="4"/>
        <v>XR-C-TE0029|alternative|XR-P-PR0006</v>
      </c>
    </row>
    <row r="153" spans="1:9" s="11" customFormat="1" ht="21.95" customHeight="1">
      <c r="A153" s="12" t="s">
        <v>1217</v>
      </c>
      <c r="B153" s="12" t="s">
        <v>272</v>
      </c>
      <c r="C153" s="12" t="s">
        <v>1095</v>
      </c>
      <c r="D153" s="12">
        <v>1</v>
      </c>
      <c r="E153" s="12" t="s">
        <v>11</v>
      </c>
      <c r="F153" s="12" t="s">
        <v>1027</v>
      </c>
      <c r="G153" s="12" t="s">
        <v>1096</v>
      </c>
      <c r="H153" s="12" t="s">
        <v>278</v>
      </c>
      <c r="I153" s="12" t="str">
        <f t="shared" si="4"/>
        <v>XR-C-TE0029|alternative|XR-P-PR0014</v>
      </c>
    </row>
    <row r="154" spans="1:9" s="11" customFormat="1" ht="21.95" customHeight="1">
      <c r="A154" s="12" t="s">
        <v>1218</v>
      </c>
      <c r="B154" s="12" t="s">
        <v>279</v>
      </c>
      <c r="C154" s="12" t="s">
        <v>1026</v>
      </c>
      <c r="D154" s="12"/>
      <c r="E154" s="12" t="s">
        <v>1039</v>
      </c>
      <c r="F154" s="12" t="s">
        <v>1040</v>
      </c>
      <c r="G154" s="12" t="s">
        <v>1028</v>
      </c>
      <c r="H154" s="12" t="s">
        <v>285</v>
      </c>
      <c r="I154" s="12" t="str">
        <f t="shared" si="4"/>
        <v>XR-C-TE0030|required|XR-P-TE0001</v>
      </c>
    </row>
    <row r="155" spans="1:9" s="11" customFormat="1" ht="21.95" customHeight="1">
      <c r="A155" s="12" t="s">
        <v>1219</v>
      </c>
      <c r="B155" s="12" t="s">
        <v>279</v>
      </c>
      <c r="C155" s="12" t="s">
        <v>1026</v>
      </c>
      <c r="D155" s="12"/>
      <c r="E155" s="12" t="s">
        <v>1042</v>
      </c>
      <c r="F155" s="12" t="s">
        <v>1027</v>
      </c>
      <c r="G155" s="12" t="s">
        <v>1028</v>
      </c>
      <c r="H155" s="12" t="s">
        <v>285</v>
      </c>
      <c r="I155" s="12" t="str">
        <f t="shared" si="4"/>
        <v>XR-C-TE0030|required|XR-P-PR0006</v>
      </c>
    </row>
    <row r="156" spans="1:9" s="11" customFormat="1" ht="21.95" customHeight="1">
      <c r="A156" s="12" t="s">
        <v>1220</v>
      </c>
      <c r="B156" s="12" t="s">
        <v>279</v>
      </c>
      <c r="C156" s="12" t="s">
        <v>1026</v>
      </c>
      <c r="D156" s="12"/>
      <c r="E156" s="12" t="s">
        <v>11</v>
      </c>
      <c r="F156" s="12" t="s">
        <v>1027</v>
      </c>
      <c r="G156" s="12" t="s">
        <v>1028</v>
      </c>
      <c r="H156" s="12" t="s">
        <v>285</v>
      </c>
      <c r="I156" s="12" t="str">
        <f t="shared" si="4"/>
        <v>XR-C-TE0030|required|XR-P-PR0014</v>
      </c>
    </row>
    <row r="157" spans="1:9" s="11" customFormat="1" ht="21.95" customHeight="1">
      <c r="A157" s="12" t="s">
        <v>1221</v>
      </c>
      <c r="B157" s="12" t="s">
        <v>279</v>
      </c>
      <c r="C157" s="12" t="s">
        <v>936</v>
      </c>
      <c r="D157" s="12"/>
      <c r="E157" s="12" t="s">
        <v>1067</v>
      </c>
      <c r="F157" s="12" t="s">
        <v>1040</v>
      </c>
      <c r="G157" s="12" t="s">
        <v>1032</v>
      </c>
      <c r="H157" s="12" t="s">
        <v>285</v>
      </c>
      <c r="I157" s="12" t="str">
        <f t="shared" si="4"/>
        <v>XR-C-TE0030|optional|XR-P-TE0014</v>
      </c>
    </row>
    <row r="158" spans="1:9" s="11" customFormat="1" ht="21.95" customHeight="1">
      <c r="A158" s="12" t="s">
        <v>1222</v>
      </c>
      <c r="B158" s="12" t="s">
        <v>279</v>
      </c>
      <c r="C158" s="12" t="s">
        <v>936</v>
      </c>
      <c r="D158" s="12"/>
      <c r="E158" s="12" t="s">
        <v>1062</v>
      </c>
      <c r="F158" s="12" t="s">
        <v>1040</v>
      </c>
      <c r="G158" s="12" t="s">
        <v>1032</v>
      </c>
      <c r="H158" s="12" t="s">
        <v>285</v>
      </c>
      <c r="I158" s="12" t="str">
        <f t="shared" si="4"/>
        <v>XR-C-TE0030|optional|XR-P-TE0022</v>
      </c>
    </row>
    <row r="159" spans="1:9" s="11" customFormat="1" ht="21.95" customHeight="1">
      <c r="A159" s="12" t="s">
        <v>1223</v>
      </c>
      <c r="B159" s="12" t="s">
        <v>279</v>
      </c>
      <c r="C159" s="12" t="s">
        <v>936</v>
      </c>
      <c r="D159" s="12"/>
      <c r="E159" s="12" t="s">
        <v>1064</v>
      </c>
      <c r="F159" s="12" t="s">
        <v>1027</v>
      </c>
      <c r="G159" s="12" t="s">
        <v>1032</v>
      </c>
      <c r="H159" s="12" t="s">
        <v>285</v>
      </c>
      <c r="I159" s="12" t="str">
        <f t="shared" si="4"/>
        <v>XR-C-TE0030|optional|XR-P-PR0010</v>
      </c>
    </row>
    <row r="160" spans="1:9" s="11" customFormat="1" ht="21.95" customHeight="1">
      <c r="A160" s="12" t="s">
        <v>1224</v>
      </c>
      <c r="B160" s="12" t="s">
        <v>286</v>
      </c>
      <c r="C160" s="12" t="s">
        <v>1026</v>
      </c>
      <c r="D160" s="12"/>
      <c r="E160" s="12" t="s">
        <v>1098</v>
      </c>
      <c r="F160" s="12" t="s">
        <v>1040</v>
      </c>
      <c r="G160" s="12" t="s">
        <v>1028</v>
      </c>
      <c r="H160" s="12" t="s">
        <v>291</v>
      </c>
      <c r="I160" s="12" t="str">
        <f t="shared" si="4"/>
        <v>XR-C-TE0031|required|XR-P-TE0003</v>
      </c>
    </row>
    <row r="161" spans="1:9" s="11" customFormat="1" ht="21.95" customHeight="1">
      <c r="A161" s="12" t="s">
        <v>1225</v>
      </c>
      <c r="B161" s="12" t="s">
        <v>286</v>
      </c>
      <c r="C161" s="12" t="s">
        <v>1026</v>
      </c>
      <c r="D161" s="12"/>
      <c r="E161" s="12" t="s">
        <v>11</v>
      </c>
      <c r="F161" s="12" t="s">
        <v>1027</v>
      </c>
      <c r="G161" s="12" t="s">
        <v>1028</v>
      </c>
      <c r="H161" s="12" t="s">
        <v>291</v>
      </c>
      <c r="I161" s="12" t="str">
        <f t="shared" si="4"/>
        <v>XR-C-TE0031|required|XR-P-PR0014</v>
      </c>
    </row>
    <row r="162" spans="1:9" s="11" customFormat="1" ht="21.95" customHeight="1">
      <c r="A162" s="12" t="s">
        <v>1226</v>
      </c>
      <c r="B162" s="12" t="s">
        <v>286</v>
      </c>
      <c r="C162" s="12" t="s">
        <v>1095</v>
      </c>
      <c r="D162" s="12">
        <v>1</v>
      </c>
      <c r="E162" s="12" t="s">
        <v>1047</v>
      </c>
      <c r="F162" s="12" t="s">
        <v>1027</v>
      </c>
      <c r="G162" s="12" t="s">
        <v>1096</v>
      </c>
      <c r="H162" s="12" t="s">
        <v>291</v>
      </c>
      <c r="I162" s="12" t="str">
        <f t="shared" si="4"/>
        <v>XR-C-TE0031|alternative|XR-P-PR0007</v>
      </c>
    </row>
    <row r="163" spans="1:9" s="11" customFormat="1" ht="21.95" customHeight="1">
      <c r="A163" s="12" t="s">
        <v>1227</v>
      </c>
      <c r="B163" s="12" t="s">
        <v>286</v>
      </c>
      <c r="C163" s="12" t="s">
        <v>1095</v>
      </c>
      <c r="D163" s="12">
        <v>1</v>
      </c>
      <c r="E163" s="12" t="s">
        <v>1074</v>
      </c>
      <c r="F163" s="12" t="s">
        <v>1027</v>
      </c>
      <c r="G163" s="12" t="s">
        <v>1096</v>
      </c>
      <c r="H163" s="12" t="s">
        <v>291</v>
      </c>
      <c r="I163" s="12" t="str">
        <f t="shared" si="4"/>
        <v>XR-C-TE0031|alternative|XR-P-PR0008</v>
      </c>
    </row>
    <row r="164" spans="1:9" s="11" customFormat="1" ht="21.95" customHeight="1">
      <c r="A164" s="12" t="s">
        <v>1228</v>
      </c>
      <c r="B164" s="12" t="s">
        <v>292</v>
      </c>
      <c r="C164" s="12" t="s">
        <v>1026</v>
      </c>
      <c r="D164" s="12"/>
      <c r="E164" s="12" t="s">
        <v>1229</v>
      </c>
      <c r="F164" s="12" t="s">
        <v>1040</v>
      </c>
      <c r="G164" s="12" t="s">
        <v>1028</v>
      </c>
      <c r="H164" s="12" t="s">
        <v>297</v>
      </c>
      <c r="I164" s="12" t="str">
        <f t="shared" si="4"/>
        <v>XR-C-TE0032|required|XR-P-TE0029</v>
      </c>
    </row>
    <row r="165" spans="1:9" s="11" customFormat="1" ht="21.95" customHeight="1">
      <c r="A165" s="12" t="s">
        <v>1230</v>
      </c>
      <c r="B165" s="12" t="s">
        <v>292</v>
      </c>
      <c r="C165" s="12" t="s">
        <v>1026</v>
      </c>
      <c r="D165" s="12"/>
      <c r="E165" s="12" t="s">
        <v>1231</v>
      </c>
      <c r="F165" s="12" t="s">
        <v>1037</v>
      </c>
      <c r="G165" s="12" t="s">
        <v>1028</v>
      </c>
      <c r="H165" s="12" t="s">
        <v>297</v>
      </c>
      <c r="I165" s="12" t="str">
        <f t="shared" ref="I165:I191" si="5">B165&amp;"|"&amp;C165&amp;"|"&amp;E165</f>
        <v>XR-C-TE0032|required|XR-P-SP0005</v>
      </c>
    </row>
    <row r="166" spans="1:9" s="11" customFormat="1" ht="21.95" customHeight="1">
      <c r="A166" s="12" t="s">
        <v>1232</v>
      </c>
      <c r="B166" s="12" t="s">
        <v>292</v>
      </c>
      <c r="C166" s="12" t="s">
        <v>1026</v>
      </c>
      <c r="D166" s="12"/>
      <c r="E166" s="12" t="s">
        <v>1233</v>
      </c>
      <c r="F166" s="12" t="s">
        <v>1027</v>
      </c>
      <c r="G166" s="12" t="s">
        <v>1028</v>
      </c>
      <c r="H166" s="12" t="s">
        <v>297</v>
      </c>
      <c r="I166" s="12" t="str">
        <f t="shared" si="5"/>
        <v>XR-C-TE0032|required|XR-P-PR0015</v>
      </c>
    </row>
    <row r="167" spans="1:9" s="11" customFormat="1" ht="21.95" customHeight="1">
      <c r="A167" s="12" t="s">
        <v>1234</v>
      </c>
      <c r="B167" s="12" t="s">
        <v>292</v>
      </c>
      <c r="C167" s="12" t="s">
        <v>1026</v>
      </c>
      <c r="D167" s="12"/>
      <c r="E167" s="12" t="s">
        <v>1235</v>
      </c>
      <c r="F167" s="12" t="s">
        <v>1027</v>
      </c>
      <c r="G167" s="12" t="s">
        <v>1028</v>
      </c>
      <c r="H167" s="12" t="s">
        <v>297</v>
      </c>
      <c r="I167" s="12" t="str">
        <f t="shared" si="5"/>
        <v>XR-C-TE0032|required|XR-P-PR0016</v>
      </c>
    </row>
    <row r="168" spans="1:9" s="11" customFormat="1" ht="21.95" customHeight="1">
      <c r="A168" s="12" t="s">
        <v>1236</v>
      </c>
      <c r="B168" s="12" t="s">
        <v>292</v>
      </c>
      <c r="C168" s="12" t="s">
        <v>1026</v>
      </c>
      <c r="D168" s="12"/>
      <c r="E168" s="12" t="s">
        <v>1237</v>
      </c>
      <c r="F168" s="12" t="s">
        <v>1027</v>
      </c>
      <c r="G168" s="12" t="s">
        <v>1028</v>
      </c>
      <c r="H168" s="12" t="s">
        <v>297</v>
      </c>
      <c r="I168" s="12" t="str">
        <f t="shared" si="5"/>
        <v>XR-C-TE0032|required|XR-P-PR0017</v>
      </c>
    </row>
    <row r="169" spans="1:9" s="11" customFormat="1" ht="21.95" customHeight="1">
      <c r="A169" s="12" t="s">
        <v>1238</v>
      </c>
      <c r="B169" s="12" t="s">
        <v>292</v>
      </c>
      <c r="C169" s="12" t="s">
        <v>1026</v>
      </c>
      <c r="D169" s="12"/>
      <c r="E169" s="12" t="s">
        <v>11</v>
      </c>
      <c r="F169" s="12" t="s">
        <v>1027</v>
      </c>
      <c r="G169" s="12" t="s">
        <v>1028</v>
      </c>
      <c r="H169" s="12" t="s">
        <v>297</v>
      </c>
      <c r="I169" s="12" t="str">
        <f t="shared" si="5"/>
        <v>XR-C-TE0032|required|XR-P-PR0014</v>
      </c>
    </row>
    <row r="170" spans="1:9" s="11" customFormat="1" ht="21.95" customHeight="1">
      <c r="A170" s="12" t="s">
        <v>1239</v>
      </c>
      <c r="B170" s="12" t="s">
        <v>298</v>
      </c>
      <c r="C170" s="12" t="s">
        <v>1026</v>
      </c>
      <c r="D170" s="12"/>
      <c r="E170" s="12" t="s">
        <v>1144</v>
      </c>
      <c r="F170" s="12" t="s">
        <v>1040</v>
      </c>
      <c r="G170" s="12" t="s">
        <v>1028</v>
      </c>
      <c r="H170" s="12" t="s">
        <v>304</v>
      </c>
      <c r="I170" s="12" t="str">
        <f t="shared" si="5"/>
        <v>XR-C-TE0033|required|XR-P-TE0012</v>
      </c>
    </row>
    <row r="171" spans="1:9" s="11" customFormat="1" ht="21.95" customHeight="1">
      <c r="A171" s="12" t="s">
        <v>1240</v>
      </c>
      <c r="B171" s="12" t="s">
        <v>298</v>
      </c>
      <c r="C171" s="12" t="s">
        <v>1026</v>
      </c>
      <c r="D171" s="12"/>
      <c r="E171" s="12" t="s">
        <v>1146</v>
      </c>
      <c r="F171" s="12" t="s">
        <v>1027</v>
      </c>
      <c r="G171" s="12" t="s">
        <v>1028</v>
      </c>
      <c r="H171" s="12" t="s">
        <v>304</v>
      </c>
      <c r="I171" s="12" t="str">
        <f t="shared" si="5"/>
        <v>XR-C-TE0033|required|XR-P-PR0011</v>
      </c>
    </row>
    <row r="172" spans="1:9" s="11" customFormat="1" ht="21.95" customHeight="1">
      <c r="A172" s="12" t="s">
        <v>1241</v>
      </c>
      <c r="B172" s="12" t="s">
        <v>298</v>
      </c>
      <c r="C172" s="12" t="s">
        <v>1026</v>
      </c>
      <c r="D172" s="12"/>
      <c r="E172" s="12" t="s">
        <v>1042</v>
      </c>
      <c r="F172" s="12" t="s">
        <v>1027</v>
      </c>
      <c r="G172" s="12" t="s">
        <v>1028</v>
      </c>
      <c r="H172" s="12" t="s">
        <v>304</v>
      </c>
      <c r="I172" s="12" t="str">
        <f t="shared" si="5"/>
        <v>XR-C-TE0033|required|XR-P-PR0006</v>
      </c>
    </row>
    <row r="173" spans="1:9" s="11" customFormat="1" ht="21.95" customHeight="1">
      <c r="A173" s="12" t="s">
        <v>1242</v>
      </c>
      <c r="B173" s="12" t="s">
        <v>298</v>
      </c>
      <c r="C173" s="12" t="s">
        <v>1026</v>
      </c>
      <c r="D173" s="12"/>
      <c r="E173" s="12" t="s">
        <v>11</v>
      </c>
      <c r="F173" s="12" t="s">
        <v>1027</v>
      </c>
      <c r="G173" s="12" t="s">
        <v>1028</v>
      </c>
      <c r="H173" s="12" t="s">
        <v>304</v>
      </c>
      <c r="I173" s="12" t="str">
        <f t="shared" si="5"/>
        <v>XR-C-TE0033|required|XR-P-PR0014</v>
      </c>
    </row>
    <row r="174" spans="1:9" s="11" customFormat="1" ht="21.95" customHeight="1">
      <c r="A174" s="12" t="s">
        <v>1243</v>
      </c>
      <c r="B174" s="12" t="s">
        <v>305</v>
      </c>
      <c r="C174" s="12" t="s">
        <v>936</v>
      </c>
      <c r="D174" s="12"/>
      <c r="E174" s="12" t="s">
        <v>1244</v>
      </c>
      <c r="F174" s="12" t="s">
        <v>1037</v>
      </c>
      <c r="G174" s="12" t="s">
        <v>1032</v>
      </c>
      <c r="H174" s="12" t="s">
        <v>310</v>
      </c>
      <c r="I174" s="12" t="str">
        <f t="shared" si="5"/>
        <v>XR-C-TE0034|optional|XR-P-SP0002</v>
      </c>
    </row>
    <row r="175" spans="1:9" s="11" customFormat="1" ht="21.95" customHeight="1">
      <c r="A175" s="12" t="s">
        <v>1245</v>
      </c>
      <c r="B175" s="12" t="s">
        <v>305</v>
      </c>
      <c r="C175" s="12" t="s">
        <v>1095</v>
      </c>
      <c r="D175" s="12">
        <v>1</v>
      </c>
      <c r="E175" s="12" t="s">
        <v>1206</v>
      </c>
      <c r="F175" s="12" t="s">
        <v>1040</v>
      </c>
      <c r="G175" s="12" t="s">
        <v>1096</v>
      </c>
      <c r="H175" s="12" t="s">
        <v>310</v>
      </c>
      <c r="I175" s="12" t="str">
        <f t="shared" si="5"/>
        <v>XR-C-TE0034|alternative|XR-P-TE0020</v>
      </c>
    </row>
    <row r="176" spans="1:9" s="11" customFormat="1" ht="21.95" customHeight="1">
      <c r="A176" s="12" t="s">
        <v>1246</v>
      </c>
      <c r="B176" s="12" t="s">
        <v>305</v>
      </c>
      <c r="C176" s="12" t="s">
        <v>1095</v>
      </c>
      <c r="D176" s="12">
        <v>1</v>
      </c>
      <c r="E176" s="12" t="s">
        <v>1208</v>
      </c>
      <c r="F176" s="12" t="s">
        <v>1040</v>
      </c>
      <c r="G176" s="12" t="s">
        <v>1096</v>
      </c>
      <c r="H176" s="12" t="s">
        <v>310</v>
      </c>
      <c r="I176" s="12" t="str">
        <f t="shared" si="5"/>
        <v>XR-C-TE0034|alternative|XR-P-TE0015</v>
      </c>
    </row>
    <row r="177" spans="1:9" s="11" customFormat="1" ht="21.95" customHeight="1">
      <c r="A177" s="12" t="s">
        <v>1247</v>
      </c>
      <c r="B177" s="12" t="s">
        <v>305</v>
      </c>
      <c r="C177" s="12" t="s">
        <v>1095</v>
      </c>
      <c r="D177" s="12">
        <v>1</v>
      </c>
      <c r="E177" s="12" t="s">
        <v>1210</v>
      </c>
      <c r="F177" s="12" t="s">
        <v>1040</v>
      </c>
      <c r="G177" s="12" t="s">
        <v>1096</v>
      </c>
      <c r="H177" s="12" t="s">
        <v>310</v>
      </c>
      <c r="I177" s="12" t="str">
        <f t="shared" si="5"/>
        <v>XR-C-TE0034|alternative|XR-P-TE0021</v>
      </c>
    </row>
    <row r="178" spans="1:9" s="11" customFormat="1" ht="21.95" customHeight="1">
      <c r="A178" s="12" t="s">
        <v>1248</v>
      </c>
      <c r="B178" s="12" t="s">
        <v>305</v>
      </c>
      <c r="C178" s="12" t="s">
        <v>1095</v>
      </c>
      <c r="D178" s="12">
        <v>1</v>
      </c>
      <c r="E178" s="12" t="s">
        <v>1212</v>
      </c>
      <c r="F178" s="12" t="s">
        <v>1027</v>
      </c>
      <c r="G178" s="12" t="s">
        <v>1096</v>
      </c>
      <c r="H178" s="12" t="s">
        <v>310</v>
      </c>
      <c r="I178" s="12" t="str">
        <f t="shared" si="5"/>
        <v>XR-C-TE0034|alternative|XR-P-PR0004</v>
      </c>
    </row>
    <row r="179" spans="1:9" s="11" customFormat="1" ht="21.95" customHeight="1">
      <c r="A179" s="12" t="s">
        <v>1249</v>
      </c>
      <c r="B179" s="12" t="s">
        <v>305</v>
      </c>
      <c r="C179" s="12" t="s">
        <v>1095</v>
      </c>
      <c r="D179" s="12">
        <v>1</v>
      </c>
      <c r="E179" s="12" t="s">
        <v>1214</v>
      </c>
      <c r="F179" s="12" t="s">
        <v>1027</v>
      </c>
      <c r="G179" s="12" t="s">
        <v>1096</v>
      </c>
      <c r="H179" s="12" t="s">
        <v>310</v>
      </c>
      <c r="I179" s="12" t="str">
        <f t="shared" si="5"/>
        <v>XR-C-TE0034|alternative|XR-P-PR0003</v>
      </c>
    </row>
    <row r="180" spans="1:9" s="11" customFormat="1" ht="21.95" customHeight="1">
      <c r="A180" s="12" t="s">
        <v>1250</v>
      </c>
      <c r="B180" s="12" t="s">
        <v>305</v>
      </c>
      <c r="C180" s="12" t="s">
        <v>1095</v>
      </c>
      <c r="D180" s="12">
        <v>1</v>
      </c>
      <c r="E180" s="12" t="s">
        <v>11</v>
      </c>
      <c r="F180" s="12" t="s">
        <v>1027</v>
      </c>
      <c r="G180" s="12" t="s">
        <v>1096</v>
      </c>
      <c r="H180" s="12" t="s">
        <v>310</v>
      </c>
      <c r="I180" s="12" t="str">
        <f t="shared" si="5"/>
        <v>XR-C-TE0034|alternative|XR-P-PR0014</v>
      </c>
    </row>
    <row r="181" spans="1:9" s="11" customFormat="1" ht="21.95" customHeight="1">
      <c r="A181" s="12" t="s">
        <v>1251</v>
      </c>
      <c r="B181" s="12" t="s">
        <v>311</v>
      </c>
      <c r="C181" s="12" t="s">
        <v>936</v>
      </c>
      <c r="D181" s="12"/>
      <c r="E181" s="12" t="s">
        <v>11</v>
      </c>
      <c r="F181" s="12" t="s">
        <v>1027</v>
      </c>
      <c r="G181" s="12" t="s">
        <v>1032</v>
      </c>
      <c r="H181" s="12" t="s">
        <v>316</v>
      </c>
      <c r="I181" s="12" t="str">
        <f t="shared" si="5"/>
        <v>XR-C-TE0035|optional|XR-P-PR0014</v>
      </c>
    </row>
    <row r="182" spans="1:9" s="11" customFormat="1" ht="21.95" customHeight="1">
      <c r="A182" s="12" t="s">
        <v>1252</v>
      </c>
      <c r="B182" s="12" t="s">
        <v>317</v>
      </c>
      <c r="C182" s="12" t="s">
        <v>1026</v>
      </c>
      <c r="D182" s="12"/>
      <c r="E182" s="12" t="s">
        <v>1039</v>
      </c>
      <c r="F182" s="12" t="s">
        <v>1040</v>
      </c>
      <c r="G182" s="12" t="s">
        <v>1028</v>
      </c>
      <c r="H182" s="12" t="s">
        <v>322</v>
      </c>
      <c r="I182" s="12" t="str">
        <f t="shared" si="5"/>
        <v>XR-C-TE0036|required|XR-P-TE0001</v>
      </c>
    </row>
    <row r="183" spans="1:9" s="11" customFormat="1" ht="21.95" customHeight="1">
      <c r="A183" s="12" t="s">
        <v>1253</v>
      </c>
      <c r="B183" s="12" t="s">
        <v>317</v>
      </c>
      <c r="C183" s="12" t="s">
        <v>1026</v>
      </c>
      <c r="D183" s="12"/>
      <c r="E183" s="12" t="s">
        <v>1042</v>
      </c>
      <c r="F183" s="12" t="s">
        <v>1027</v>
      </c>
      <c r="G183" s="12" t="s">
        <v>1028</v>
      </c>
      <c r="H183" s="12" t="s">
        <v>322</v>
      </c>
      <c r="I183" s="12" t="str">
        <f t="shared" si="5"/>
        <v>XR-C-TE0036|required|XR-P-PR0006</v>
      </c>
    </row>
    <row r="184" spans="1:9" s="11" customFormat="1" ht="21.95" customHeight="1">
      <c r="A184" s="12" t="s">
        <v>1254</v>
      </c>
      <c r="B184" s="12" t="s">
        <v>317</v>
      </c>
      <c r="C184" s="12" t="s">
        <v>1026</v>
      </c>
      <c r="D184" s="12"/>
      <c r="E184" s="12" t="s">
        <v>11</v>
      </c>
      <c r="F184" s="12" t="s">
        <v>1027</v>
      </c>
      <c r="G184" s="12" t="s">
        <v>1028</v>
      </c>
      <c r="H184" s="12" t="s">
        <v>322</v>
      </c>
      <c r="I184" s="12" t="str">
        <f t="shared" si="5"/>
        <v>XR-C-TE0036|required|XR-P-PR0014</v>
      </c>
    </row>
    <row r="185" spans="1:9" s="11" customFormat="1" ht="21.95" customHeight="1">
      <c r="A185" s="12" t="s">
        <v>1255</v>
      </c>
      <c r="B185" s="12" t="s">
        <v>317</v>
      </c>
      <c r="C185" s="12" t="s">
        <v>936</v>
      </c>
      <c r="D185" s="12"/>
      <c r="E185" s="12" t="s">
        <v>1045</v>
      </c>
      <c r="F185" s="12" t="s">
        <v>1040</v>
      </c>
      <c r="G185" s="12" t="s">
        <v>1032</v>
      </c>
      <c r="H185" s="12" t="s">
        <v>322</v>
      </c>
      <c r="I185" s="12" t="str">
        <f t="shared" si="5"/>
        <v>XR-C-TE0036|optional|XR-P-TE0002</v>
      </c>
    </row>
    <row r="186" spans="1:9" s="11" customFormat="1" ht="21.95" customHeight="1">
      <c r="A186" s="12" t="s">
        <v>1256</v>
      </c>
      <c r="B186" s="12" t="s">
        <v>317</v>
      </c>
      <c r="C186" s="12" t="s">
        <v>936</v>
      </c>
      <c r="D186" s="12"/>
      <c r="E186" s="12" t="s">
        <v>1144</v>
      </c>
      <c r="F186" s="12" t="s">
        <v>1040</v>
      </c>
      <c r="G186" s="12" t="s">
        <v>1032</v>
      </c>
      <c r="H186" s="12" t="s">
        <v>322</v>
      </c>
      <c r="I186" s="12" t="str">
        <f t="shared" si="5"/>
        <v>XR-C-TE0036|optional|XR-P-TE0012</v>
      </c>
    </row>
    <row r="187" spans="1:9" s="11" customFormat="1" ht="21.95" customHeight="1">
      <c r="A187" s="12" t="s">
        <v>1257</v>
      </c>
      <c r="B187" s="12" t="s">
        <v>317</v>
      </c>
      <c r="C187" s="12" t="s">
        <v>936</v>
      </c>
      <c r="D187" s="12"/>
      <c r="E187" s="12" t="s">
        <v>1047</v>
      </c>
      <c r="F187" s="12" t="s">
        <v>1027</v>
      </c>
      <c r="G187" s="12" t="s">
        <v>1032</v>
      </c>
      <c r="H187" s="12" t="s">
        <v>322</v>
      </c>
      <c r="I187" s="12" t="str">
        <f t="shared" si="5"/>
        <v>XR-C-TE0036|optional|XR-P-PR0007</v>
      </c>
    </row>
    <row r="188" spans="1:9" s="11" customFormat="1" ht="21.95" customHeight="1">
      <c r="A188" s="12" t="s">
        <v>1258</v>
      </c>
      <c r="B188" s="12" t="s">
        <v>317</v>
      </c>
      <c r="C188" s="12" t="s">
        <v>936</v>
      </c>
      <c r="D188" s="12"/>
      <c r="E188" s="12" t="s">
        <v>1146</v>
      </c>
      <c r="F188" s="12" t="s">
        <v>1027</v>
      </c>
      <c r="G188" s="12" t="s">
        <v>1032</v>
      </c>
      <c r="H188" s="12" t="s">
        <v>322</v>
      </c>
      <c r="I188" s="12" t="str">
        <f t="shared" si="5"/>
        <v>XR-C-TE0036|optional|XR-P-PR0011</v>
      </c>
    </row>
    <row r="189" spans="1:9" s="11" customFormat="1" ht="21.95" customHeight="1">
      <c r="A189" s="12" t="s">
        <v>1259</v>
      </c>
      <c r="B189" s="12" t="s">
        <v>323</v>
      </c>
      <c r="C189" s="12" t="s">
        <v>936</v>
      </c>
      <c r="D189" s="12"/>
      <c r="E189" s="12" t="s">
        <v>1059</v>
      </c>
      <c r="F189" s="12" t="s">
        <v>1060</v>
      </c>
      <c r="G189" s="12" t="s">
        <v>1032</v>
      </c>
      <c r="H189" s="12" t="s">
        <v>329</v>
      </c>
      <c r="I189" s="12" t="str">
        <f t="shared" si="5"/>
        <v>XR-C-TE0037|optional|XR-U-AP0002</v>
      </c>
    </row>
    <row r="190" spans="1:9" s="11" customFormat="1" ht="21.95" customHeight="1">
      <c r="A190" s="12" t="s">
        <v>1260</v>
      </c>
      <c r="B190" s="12" t="s">
        <v>323</v>
      </c>
      <c r="C190" s="12" t="s">
        <v>936</v>
      </c>
      <c r="D190" s="12"/>
      <c r="E190" s="12" t="s">
        <v>1261</v>
      </c>
      <c r="F190" s="12" t="s">
        <v>1060</v>
      </c>
      <c r="G190" s="12" t="s">
        <v>1032</v>
      </c>
      <c r="H190" s="12" t="s">
        <v>329</v>
      </c>
      <c r="I190" s="12" t="str">
        <f t="shared" si="5"/>
        <v>XR-C-TE0037|optional|XR-U-AP0003</v>
      </c>
    </row>
    <row r="191" spans="1:9" s="11" customFormat="1" ht="21.95" customHeight="1">
      <c r="A191" s="13" t="s">
        <v>1262</v>
      </c>
      <c r="B191" s="13" t="s">
        <v>323</v>
      </c>
      <c r="C191" s="13" t="s">
        <v>936</v>
      </c>
      <c r="D191" s="13"/>
      <c r="E191" s="13" t="s">
        <v>1049</v>
      </c>
      <c r="F191" s="13" t="s">
        <v>1040</v>
      </c>
      <c r="G191" s="13" t="s">
        <v>1032</v>
      </c>
      <c r="H191" s="13" t="s">
        <v>329</v>
      </c>
      <c r="I191" s="13" t="str">
        <f t="shared" si="5"/>
        <v>XR-C-TE0037|optional|XR-P-TE0013</v>
      </c>
    </row>
  </sheetData>
  <mergeCells count="2">
    <mergeCell ref="A1:I1"/>
    <mergeCell ref="A2:I2"/>
  </mergeCells>
  <phoneticPr fontId="6" type="noConversion"/>
  <dataValidations count="1">
    <dataValidation type="list" sqref="C5:C1000" xr:uid="{00000000-0002-0000-0700-000000000000}">
      <formula1>"required,optional,alternative"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showGridLines="0" zoomScale="70" zoomScaleNormal="70" workbookViewId="0">
      <selection activeCell="F31" sqref="F31"/>
    </sheetView>
  </sheetViews>
  <sheetFormatPr defaultRowHeight="14.25"/>
  <cols>
    <col min="1" max="1" width="22" customWidth="1"/>
    <col min="2" max="2" width="18" customWidth="1"/>
    <col min="3" max="3" width="28" customWidth="1"/>
    <col min="4" max="4" width="72" customWidth="1"/>
    <col min="5" max="5" width="82" customWidth="1"/>
    <col min="6" max="6" width="140.875" customWidth="1"/>
    <col min="7" max="7" width="66" customWidth="1"/>
    <col min="8" max="8" width="70" customWidth="1"/>
  </cols>
  <sheetData>
    <row r="1" spans="1:8" ht="30" customHeight="1">
      <c r="A1" s="15" t="s">
        <v>1266</v>
      </c>
      <c r="B1" s="15"/>
      <c r="C1" s="15"/>
      <c r="D1" s="15"/>
      <c r="E1" s="15"/>
      <c r="F1" s="15"/>
      <c r="G1" s="15"/>
      <c r="H1" s="15"/>
    </row>
    <row r="2" spans="1:8" ht="39.950000000000003" customHeight="1">
      <c r="A2" s="17" t="s">
        <v>1523</v>
      </c>
      <c r="B2" s="17"/>
      <c r="C2" s="17"/>
      <c r="D2" s="17"/>
      <c r="E2" s="17"/>
      <c r="F2" s="17"/>
      <c r="G2" s="17"/>
      <c r="H2" s="17"/>
    </row>
    <row r="3" spans="1:8">
      <c r="A3" s="1"/>
      <c r="B3" s="1"/>
      <c r="C3" s="1"/>
      <c r="D3" s="1"/>
      <c r="E3" s="1"/>
      <c r="F3" s="1"/>
      <c r="G3" s="1"/>
      <c r="H3" s="1"/>
    </row>
    <row r="4" spans="1:8" ht="36" customHeight="1">
      <c r="A4" s="2" t="s">
        <v>1267</v>
      </c>
      <c r="B4" s="5" t="s">
        <v>14</v>
      </c>
      <c r="C4" s="5" t="s">
        <v>15</v>
      </c>
      <c r="D4" s="5" t="s">
        <v>16</v>
      </c>
      <c r="E4" s="5" t="s">
        <v>1268</v>
      </c>
      <c r="F4" s="5" t="s">
        <v>1269</v>
      </c>
      <c r="G4" s="5" t="s">
        <v>1270</v>
      </c>
      <c r="H4" s="3" t="s">
        <v>1271</v>
      </c>
    </row>
    <row r="5" spans="1:8" s="14" customFormat="1" ht="21.95" customHeight="1">
      <c r="A5" s="10" t="s">
        <v>8</v>
      </c>
      <c r="B5" s="10" t="s">
        <v>1272</v>
      </c>
      <c r="C5" s="10" t="s">
        <v>1273</v>
      </c>
      <c r="D5" s="10" t="s">
        <v>1274</v>
      </c>
      <c r="E5" s="10" t="s">
        <v>1275</v>
      </c>
      <c r="F5" s="10" t="s">
        <v>1276</v>
      </c>
      <c r="G5" s="10" t="s">
        <v>1277</v>
      </c>
      <c r="H5" s="10" t="s">
        <v>1278</v>
      </c>
    </row>
    <row r="6" spans="1:8" s="14" customFormat="1" ht="21.95" customHeight="1">
      <c r="A6" s="12" t="s">
        <v>1279</v>
      </c>
      <c r="B6" s="12" t="s">
        <v>1280</v>
      </c>
      <c r="C6" s="12" t="s">
        <v>1281</v>
      </c>
      <c r="D6" s="12" t="s">
        <v>1282</v>
      </c>
      <c r="E6" s="12" t="s">
        <v>1283</v>
      </c>
      <c r="F6" s="12" t="s">
        <v>1284</v>
      </c>
      <c r="G6" s="12" t="s">
        <v>1285</v>
      </c>
      <c r="H6" s="12" t="s">
        <v>1286</v>
      </c>
    </row>
    <row r="7" spans="1:8" s="14" customFormat="1" ht="21.95" customHeight="1">
      <c r="A7" s="12" t="s">
        <v>1287</v>
      </c>
      <c r="B7" s="12" t="s">
        <v>1288</v>
      </c>
      <c r="C7" s="12" t="s">
        <v>1289</v>
      </c>
      <c r="D7" s="12" t="s">
        <v>1290</v>
      </c>
      <c r="E7" s="12" t="s">
        <v>1291</v>
      </c>
      <c r="F7" s="12" t="s">
        <v>1292</v>
      </c>
      <c r="G7" s="12" t="s">
        <v>1293</v>
      </c>
      <c r="H7" s="12" t="s">
        <v>1294</v>
      </c>
    </row>
    <row r="8" spans="1:8" s="14" customFormat="1" ht="21.95" customHeight="1">
      <c r="A8" s="12" t="s">
        <v>1295</v>
      </c>
      <c r="B8" s="12" t="s">
        <v>1296</v>
      </c>
      <c r="C8" s="12" t="s">
        <v>1297</v>
      </c>
      <c r="D8" s="12" t="s">
        <v>1298</v>
      </c>
      <c r="E8" s="12" t="s">
        <v>1299</v>
      </c>
      <c r="F8" s="12" t="s">
        <v>1300</v>
      </c>
      <c r="G8" s="12" t="s">
        <v>1301</v>
      </c>
      <c r="H8" s="12" t="s">
        <v>1302</v>
      </c>
    </row>
    <row r="9" spans="1:8" s="14" customFormat="1" ht="21.95" customHeight="1">
      <c r="A9" s="12" t="s">
        <v>1303</v>
      </c>
      <c r="B9" s="12" t="s">
        <v>1304</v>
      </c>
      <c r="C9" s="12" t="s">
        <v>1305</v>
      </c>
      <c r="D9" s="12" t="s">
        <v>1306</v>
      </c>
      <c r="E9" s="12" t="s">
        <v>1307</v>
      </c>
      <c r="F9" s="12" t="s">
        <v>1308</v>
      </c>
      <c r="G9" s="12" t="s">
        <v>1309</v>
      </c>
      <c r="H9" s="12" t="s">
        <v>1310</v>
      </c>
    </row>
    <row r="10" spans="1:8" s="14" customFormat="1" ht="21.95" customHeight="1">
      <c r="A10" s="12" t="s">
        <v>1311</v>
      </c>
      <c r="B10" s="12" t="s">
        <v>1312</v>
      </c>
      <c r="C10" s="12" t="s">
        <v>1313</v>
      </c>
      <c r="D10" s="12" t="s">
        <v>1314</v>
      </c>
      <c r="E10" s="12" t="s">
        <v>1315</v>
      </c>
      <c r="F10" s="12" t="s">
        <v>1316</v>
      </c>
      <c r="G10" s="12" t="s">
        <v>1317</v>
      </c>
      <c r="H10" s="12" t="s">
        <v>1318</v>
      </c>
    </row>
    <row r="11" spans="1:8" s="14" customFormat="1" ht="21.95" customHeight="1">
      <c r="A11" s="12" t="s">
        <v>1319</v>
      </c>
      <c r="B11" s="12" t="s">
        <v>1320</v>
      </c>
      <c r="C11" s="12" t="s">
        <v>1265</v>
      </c>
      <c r="D11" s="12" t="s">
        <v>1321</v>
      </c>
      <c r="E11" s="12" t="s">
        <v>1322</v>
      </c>
      <c r="F11" s="12" t="s">
        <v>1323</v>
      </c>
      <c r="G11" s="12" t="s">
        <v>1324</v>
      </c>
      <c r="H11" s="12" t="s">
        <v>1325</v>
      </c>
    </row>
    <row r="12" spans="1:8" s="14" customFormat="1" ht="21.95" customHeight="1">
      <c r="A12" s="12" t="s">
        <v>1326</v>
      </c>
      <c r="B12" s="12" t="s">
        <v>1327</v>
      </c>
      <c r="C12" s="12" t="s">
        <v>1328</v>
      </c>
      <c r="D12" s="12" t="s">
        <v>1329</v>
      </c>
      <c r="E12" s="12" t="s">
        <v>1330</v>
      </c>
      <c r="F12" s="12" t="s">
        <v>1331</v>
      </c>
      <c r="G12" s="12" t="s">
        <v>1332</v>
      </c>
      <c r="H12" s="12" t="s">
        <v>1333</v>
      </c>
    </row>
    <row r="13" spans="1:8" s="14" customFormat="1" ht="21.95" customHeight="1">
      <c r="A13" s="13" t="s">
        <v>1334</v>
      </c>
      <c r="B13" s="13" t="s">
        <v>1335</v>
      </c>
      <c r="C13" s="13" t="s">
        <v>1264</v>
      </c>
      <c r="D13" s="13" t="s">
        <v>1336</v>
      </c>
      <c r="E13" s="13" t="s">
        <v>1337</v>
      </c>
      <c r="F13" s="13" t="s">
        <v>1338</v>
      </c>
      <c r="G13" s="13" t="s">
        <v>1339</v>
      </c>
      <c r="H13" s="13" t="s">
        <v>1340</v>
      </c>
    </row>
  </sheetData>
  <mergeCells count="2">
    <mergeCell ref="A1:H1"/>
    <mergeCell ref="A2:H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7"/>
  <sheetViews>
    <sheetView showGridLines="0" zoomScale="70" zoomScaleNormal="70" workbookViewId="0">
      <selection activeCell="K33" sqref="J33:K34"/>
    </sheetView>
  </sheetViews>
  <sheetFormatPr defaultRowHeight="14.25"/>
  <cols>
    <col min="1" max="1" width="30" customWidth="1"/>
    <col min="2" max="2" width="22" customWidth="1"/>
    <col min="3" max="3" width="42" customWidth="1"/>
    <col min="4" max="4" width="46" customWidth="1"/>
    <col min="5" max="5" width="34" customWidth="1"/>
    <col min="6" max="6" width="42" customWidth="1"/>
  </cols>
  <sheetData>
    <row r="1" spans="1:6" ht="30" customHeight="1">
      <c r="A1" s="15" t="s">
        <v>1341</v>
      </c>
      <c r="B1" s="15"/>
      <c r="C1" s="15"/>
      <c r="D1" s="15"/>
      <c r="E1" s="15"/>
      <c r="F1" s="15"/>
    </row>
    <row r="2" spans="1:6" ht="39.950000000000003" customHeight="1">
      <c r="A2" s="16" t="s">
        <v>1525</v>
      </c>
      <c r="B2" s="17"/>
      <c r="C2" s="17"/>
      <c r="D2" s="17"/>
      <c r="E2" s="17"/>
      <c r="F2" s="17"/>
    </row>
    <row r="3" spans="1:6">
      <c r="A3" s="1"/>
      <c r="B3" s="1"/>
      <c r="C3" s="1"/>
      <c r="D3" s="1"/>
      <c r="E3" s="1"/>
      <c r="F3" s="1"/>
    </row>
    <row r="4" spans="1:6" ht="36" customHeight="1">
      <c r="A4" s="2" t="s">
        <v>1342</v>
      </c>
      <c r="B4" s="5" t="s">
        <v>1343</v>
      </c>
      <c r="C4" s="5" t="s">
        <v>14</v>
      </c>
      <c r="D4" s="5" t="s">
        <v>1344</v>
      </c>
      <c r="E4" s="5" t="s">
        <v>1345</v>
      </c>
      <c r="F4" s="3" t="s">
        <v>1346</v>
      </c>
    </row>
    <row r="5" spans="1:6" s="11" customFormat="1" ht="21.95" customHeight="1">
      <c r="A5" s="10" t="s">
        <v>1347</v>
      </c>
      <c r="B5" s="10" t="s">
        <v>1</v>
      </c>
      <c r="C5" s="10" t="s">
        <v>18</v>
      </c>
      <c r="D5" s="10" t="s">
        <v>1348</v>
      </c>
      <c r="E5" s="10" t="s">
        <v>1263</v>
      </c>
      <c r="F5" s="10" t="s">
        <v>1349</v>
      </c>
    </row>
    <row r="6" spans="1:6" s="11" customFormat="1" ht="21.95" customHeight="1">
      <c r="A6" s="12" t="s">
        <v>1347</v>
      </c>
      <c r="B6" s="12" t="s">
        <v>21</v>
      </c>
      <c r="C6" s="12" t="s">
        <v>22</v>
      </c>
      <c r="D6" s="12" t="s">
        <v>1350</v>
      </c>
      <c r="E6" s="12" t="s">
        <v>1263</v>
      </c>
      <c r="F6" s="12" t="s">
        <v>1349</v>
      </c>
    </row>
    <row r="7" spans="1:6" s="11" customFormat="1" ht="21.95" customHeight="1">
      <c r="A7" s="12" t="s">
        <v>1347</v>
      </c>
      <c r="B7" s="12" t="s">
        <v>25</v>
      </c>
      <c r="C7" s="12" t="s">
        <v>26</v>
      </c>
      <c r="D7" s="12" t="s">
        <v>1351</v>
      </c>
      <c r="E7" s="12" t="s">
        <v>1263</v>
      </c>
      <c r="F7" s="12" t="s">
        <v>1349</v>
      </c>
    </row>
    <row r="8" spans="1:6" s="11" customFormat="1" ht="21.95" customHeight="1">
      <c r="A8" s="12" t="s">
        <v>1347</v>
      </c>
      <c r="B8" s="12" t="s">
        <v>29</v>
      </c>
      <c r="C8" s="12" t="s">
        <v>30</v>
      </c>
      <c r="D8" s="12" t="s">
        <v>1352</v>
      </c>
      <c r="E8" s="12" t="s">
        <v>1263</v>
      </c>
      <c r="F8" s="12" t="s">
        <v>1349</v>
      </c>
    </row>
    <row r="9" spans="1:6" s="11" customFormat="1" ht="21.95" customHeight="1">
      <c r="A9" s="12" t="s">
        <v>1347</v>
      </c>
      <c r="B9" s="12" t="s">
        <v>33</v>
      </c>
      <c r="C9" s="12" t="s">
        <v>34</v>
      </c>
      <c r="D9" s="12" t="s">
        <v>1353</v>
      </c>
      <c r="E9" s="12" t="s">
        <v>1263</v>
      </c>
      <c r="F9" s="12" t="s">
        <v>1349</v>
      </c>
    </row>
    <row r="10" spans="1:6" s="11" customFormat="1" ht="21.95" customHeight="1">
      <c r="A10" s="12" t="s">
        <v>1347</v>
      </c>
      <c r="B10" s="12" t="s">
        <v>37</v>
      </c>
      <c r="C10" s="12" t="s">
        <v>38</v>
      </c>
      <c r="D10" s="12" t="s">
        <v>1354</v>
      </c>
      <c r="E10" s="12" t="s">
        <v>1263</v>
      </c>
      <c r="F10" s="12" t="s">
        <v>1349</v>
      </c>
    </row>
    <row r="11" spans="1:6" s="11" customFormat="1" ht="21.95" customHeight="1">
      <c r="A11" s="12" t="s">
        <v>1347</v>
      </c>
      <c r="B11" s="12" t="s">
        <v>41</v>
      </c>
      <c r="C11" s="12" t="s">
        <v>42</v>
      </c>
      <c r="D11" s="12" t="s">
        <v>1355</v>
      </c>
      <c r="E11" s="12" t="s">
        <v>1263</v>
      </c>
      <c r="F11" s="12" t="s">
        <v>1349</v>
      </c>
    </row>
    <row r="12" spans="1:6" s="11" customFormat="1" ht="21.95" customHeight="1">
      <c r="A12" s="12" t="s">
        <v>1347</v>
      </c>
      <c r="B12" s="12" t="s">
        <v>45</v>
      </c>
      <c r="C12" s="12" t="s">
        <v>46</v>
      </c>
      <c r="D12" s="12" t="s">
        <v>1356</v>
      </c>
      <c r="E12" s="12" t="s">
        <v>1263</v>
      </c>
      <c r="F12" s="12" t="s">
        <v>1349</v>
      </c>
    </row>
    <row r="13" spans="1:6" s="11" customFormat="1" ht="21.95" customHeight="1">
      <c r="A13" s="12" t="s">
        <v>1347</v>
      </c>
      <c r="B13" s="12" t="s">
        <v>49</v>
      </c>
      <c r="C13" s="12" t="s">
        <v>50</v>
      </c>
      <c r="D13" s="12" t="s">
        <v>1357</v>
      </c>
      <c r="E13" s="12" t="s">
        <v>1263</v>
      </c>
      <c r="F13" s="12" t="s">
        <v>1349</v>
      </c>
    </row>
    <row r="14" spans="1:6" s="11" customFormat="1" ht="21.95" customHeight="1">
      <c r="A14" s="12" t="s">
        <v>1347</v>
      </c>
      <c r="B14" s="12" t="s">
        <v>53</v>
      </c>
      <c r="C14" s="12" t="s">
        <v>54</v>
      </c>
      <c r="D14" s="12" t="s">
        <v>1358</v>
      </c>
      <c r="E14" s="12" t="s">
        <v>1263</v>
      </c>
      <c r="F14" s="12" t="s">
        <v>1349</v>
      </c>
    </row>
    <row r="15" spans="1:6" s="11" customFormat="1" ht="21.95" customHeight="1">
      <c r="A15" s="12" t="s">
        <v>1347</v>
      </c>
      <c r="B15" s="12" t="s">
        <v>57</v>
      </c>
      <c r="C15" s="12" t="s">
        <v>58</v>
      </c>
      <c r="D15" s="12" t="s">
        <v>1359</v>
      </c>
      <c r="E15" s="12" t="s">
        <v>1263</v>
      </c>
      <c r="F15" s="12" t="s">
        <v>1349</v>
      </c>
    </row>
    <row r="16" spans="1:6" s="11" customFormat="1" ht="21.95" customHeight="1">
      <c r="A16" s="12" t="s">
        <v>1347</v>
      </c>
      <c r="B16" s="12" t="s">
        <v>61</v>
      </c>
      <c r="C16" s="12" t="s">
        <v>62</v>
      </c>
      <c r="D16" s="12" t="s">
        <v>1360</v>
      </c>
      <c r="E16" s="12" t="s">
        <v>1263</v>
      </c>
      <c r="F16" s="12" t="s">
        <v>1349</v>
      </c>
    </row>
    <row r="17" spans="1:6" s="11" customFormat="1" ht="21.95" customHeight="1">
      <c r="A17" s="12" t="s">
        <v>1347</v>
      </c>
      <c r="B17" s="12" t="s">
        <v>65</v>
      </c>
      <c r="C17" s="12" t="s">
        <v>66</v>
      </c>
      <c r="D17" s="12" t="s">
        <v>1361</v>
      </c>
      <c r="E17" s="12" t="s">
        <v>1263</v>
      </c>
      <c r="F17" s="12" t="s">
        <v>1349</v>
      </c>
    </row>
    <row r="18" spans="1:6" s="11" customFormat="1" ht="21.95" customHeight="1">
      <c r="A18" s="12" t="s">
        <v>1347</v>
      </c>
      <c r="B18" s="12" t="s">
        <v>69</v>
      </c>
      <c r="C18" s="12" t="s">
        <v>70</v>
      </c>
      <c r="D18" s="12" t="s">
        <v>1362</v>
      </c>
      <c r="E18" s="12" t="s">
        <v>1263</v>
      </c>
      <c r="F18" s="12" t="s">
        <v>1349</v>
      </c>
    </row>
    <row r="19" spans="1:6" s="11" customFormat="1" ht="21.95" customHeight="1">
      <c r="A19" s="12" t="s">
        <v>1347</v>
      </c>
      <c r="B19" s="12" t="s">
        <v>73</v>
      </c>
      <c r="C19" s="12" t="s">
        <v>74</v>
      </c>
      <c r="D19" s="12" t="s">
        <v>1363</v>
      </c>
      <c r="E19" s="12" t="s">
        <v>1263</v>
      </c>
      <c r="F19" s="12" t="s">
        <v>1349</v>
      </c>
    </row>
    <row r="20" spans="1:6" s="11" customFormat="1" ht="21.95" customHeight="1">
      <c r="A20" s="12" t="s">
        <v>1347</v>
      </c>
      <c r="B20" s="12" t="s">
        <v>77</v>
      </c>
      <c r="C20" s="12" t="s">
        <v>78</v>
      </c>
      <c r="D20" s="12" t="s">
        <v>1364</v>
      </c>
      <c r="E20" s="12" t="s">
        <v>1263</v>
      </c>
      <c r="F20" s="12" t="s">
        <v>1349</v>
      </c>
    </row>
    <row r="21" spans="1:6" s="11" customFormat="1" ht="21.95" customHeight="1">
      <c r="A21" s="12" t="s">
        <v>1365</v>
      </c>
      <c r="B21" s="12" t="s">
        <v>2</v>
      </c>
      <c r="C21" s="12" t="s">
        <v>89</v>
      </c>
      <c r="D21" s="12" t="s">
        <v>1366</v>
      </c>
      <c r="E21" s="12" t="s">
        <v>1367</v>
      </c>
      <c r="F21" s="12" t="s">
        <v>1368</v>
      </c>
    </row>
    <row r="22" spans="1:6" s="11" customFormat="1" ht="21.95" customHeight="1">
      <c r="A22" s="12" t="s">
        <v>1365</v>
      </c>
      <c r="B22" s="12" t="s">
        <v>95</v>
      </c>
      <c r="C22" s="12" t="s">
        <v>96</v>
      </c>
      <c r="D22" s="12" t="s">
        <v>1369</v>
      </c>
      <c r="E22" s="12" t="s">
        <v>1367</v>
      </c>
      <c r="F22" s="12" t="s">
        <v>1368</v>
      </c>
    </row>
    <row r="23" spans="1:6" s="11" customFormat="1" ht="21.95" customHeight="1">
      <c r="A23" s="12" t="s">
        <v>1365</v>
      </c>
      <c r="B23" s="12" t="s">
        <v>102</v>
      </c>
      <c r="C23" s="12" t="s">
        <v>103</v>
      </c>
      <c r="D23" s="12" t="s">
        <v>1370</v>
      </c>
      <c r="E23" s="12" t="s">
        <v>1367</v>
      </c>
      <c r="F23" s="12" t="s">
        <v>1368</v>
      </c>
    </row>
    <row r="24" spans="1:6" s="11" customFormat="1" ht="21.95" customHeight="1">
      <c r="A24" s="12" t="s">
        <v>1365</v>
      </c>
      <c r="B24" s="12" t="s">
        <v>109</v>
      </c>
      <c r="C24" s="12" t="s">
        <v>110</v>
      </c>
      <c r="D24" s="12" t="s">
        <v>1371</v>
      </c>
      <c r="E24" s="12" t="s">
        <v>1367</v>
      </c>
      <c r="F24" s="12" t="s">
        <v>1368</v>
      </c>
    </row>
    <row r="25" spans="1:6" s="11" customFormat="1" ht="21.95" customHeight="1">
      <c r="A25" s="12" t="s">
        <v>1365</v>
      </c>
      <c r="B25" s="12" t="s">
        <v>116</v>
      </c>
      <c r="C25" s="12" t="s">
        <v>117</v>
      </c>
      <c r="D25" s="12" t="s">
        <v>1372</v>
      </c>
      <c r="E25" s="12" t="s">
        <v>1367</v>
      </c>
      <c r="F25" s="12" t="s">
        <v>1368</v>
      </c>
    </row>
    <row r="26" spans="1:6" s="11" customFormat="1" ht="21.95" customHeight="1">
      <c r="A26" s="12" t="s">
        <v>1365</v>
      </c>
      <c r="B26" s="12" t="s">
        <v>122</v>
      </c>
      <c r="C26" s="12" t="s">
        <v>123</v>
      </c>
      <c r="D26" s="12" t="s">
        <v>1373</v>
      </c>
      <c r="E26" s="12" t="s">
        <v>1367</v>
      </c>
      <c r="F26" s="12" t="s">
        <v>1368</v>
      </c>
    </row>
    <row r="27" spans="1:6" s="11" customFormat="1" ht="21.95" customHeight="1">
      <c r="A27" s="12" t="s">
        <v>1365</v>
      </c>
      <c r="B27" s="12" t="s">
        <v>128</v>
      </c>
      <c r="C27" s="12" t="s">
        <v>129</v>
      </c>
      <c r="D27" s="12" t="s">
        <v>1374</v>
      </c>
      <c r="E27" s="12" t="s">
        <v>1367</v>
      </c>
      <c r="F27" s="12" t="s">
        <v>1368</v>
      </c>
    </row>
    <row r="28" spans="1:6" s="11" customFormat="1" ht="21.95" customHeight="1">
      <c r="A28" s="12" t="s">
        <v>1365</v>
      </c>
      <c r="B28" s="12" t="s">
        <v>134</v>
      </c>
      <c r="C28" s="12" t="s">
        <v>135</v>
      </c>
      <c r="D28" s="12" t="s">
        <v>1375</v>
      </c>
      <c r="E28" s="12" t="s">
        <v>1367</v>
      </c>
      <c r="F28" s="12" t="s">
        <v>1368</v>
      </c>
    </row>
    <row r="29" spans="1:6" s="11" customFormat="1" ht="21.95" customHeight="1">
      <c r="A29" s="12" t="s">
        <v>1365</v>
      </c>
      <c r="B29" s="12" t="s">
        <v>141</v>
      </c>
      <c r="C29" s="12" t="s">
        <v>142</v>
      </c>
      <c r="D29" s="12" t="s">
        <v>1376</v>
      </c>
      <c r="E29" s="12" t="s">
        <v>1367</v>
      </c>
      <c r="F29" s="12" t="s">
        <v>1368</v>
      </c>
    </row>
    <row r="30" spans="1:6" s="11" customFormat="1" ht="21.95" customHeight="1">
      <c r="A30" s="12" t="s">
        <v>1365</v>
      </c>
      <c r="B30" s="12" t="s">
        <v>148</v>
      </c>
      <c r="C30" s="12" t="s">
        <v>149</v>
      </c>
      <c r="D30" s="12" t="s">
        <v>1377</v>
      </c>
      <c r="E30" s="12" t="s">
        <v>1367</v>
      </c>
      <c r="F30" s="12" t="s">
        <v>1368</v>
      </c>
    </row>
    <row r="31" spans="1:6" s="11" customFormat="1" ht="21.95" customHeight="1">
      <c r="A31" s="12" t="s">
        <v>1365</v>
      </c>
      <c r="B31" s="12" t="s">
        <v>154</v>
      </c>
      <c r="C31" s="12" t="s">
        <v>155</v>
      </c>
      <c r="D31" s="12" t="s">
        <v>1378</v>
      </c>
      <c r="E31" s="12" t="s">
        <v>1367</v>
      </c>
      <c r="F31" s="12" t="s">
        <v>1368</v>
      </c>
    </row>
    <row r="32" spans="1:6" s="11" customFormat="1" ht="21.95" customHeight="1">
      <c r="A32" s="12" t="s">
        <v>1365</v>
      </c>
      <c r="B32" s="12" t="s">
        <v>160</v>
      </c>
      <c r="C32" s="12" t="s">
        <v>161</v>
      </c>
      <c r="D32" s="12" t="s">
        <v>1379</v>
      </c>
      <c r="E32" s="12" t="s">
        <v>1367</v>
      </c>
      <c r="F32" s="12" t="s">
        <v>1368</v>
      </c>
    </row>
    <row r="33" spans="1:6" s="11" customFormat="1" ht="21.95" customHeight="1">
      <c r="A33" s="12" t="s">
        <v>1365</v>
      </c>
      <c r="B33" s="12" t="s">
        <v>167</v>
      </c>
      <c r="C33" s="12" t="s">
        <v>168</v>
      </c>
      <c r="D33" s="12" t="s">
        <v>1380</v>
      </c>
      <c r="E33" s="12" t="s">
        <v>1367</v>
      </c>
      <c r="F33" s="12" t="s">
        <v>1368</v>
      </c>
    </row>
    <row r="34" spans="1:6" s="11" customFormat="1" ht="21.95" customHeight="1">
      <c r="A34" s="12" t="s">
        <v>1365</v>
      </c>
      <c r="B34" s="12" t="s">
        <v>174</v>
      </c>
      <c r="C34" s="12" t="s">
        <v>175</v>
      </c>
      <c r="D34" s="12" t="s">
        <v>1381</v>
      </c>
      <c r="E34" s="12" t="s">
        <v>1367</v>
      </c>
      <c r="F34" s="12" t="s">
        <v>1368</v>
      </c>
    </row>
    <row r="35" spans="1:6" s="11" customFormat="1" ht="21.95" customHeight="1">
      <c r="A35" s="12" t="s">
        <v>1365</v>
      </c>
      <c r="B35" s="12" t="s">
        <v>181</v>
      </c>
      <c r="C35" s="12" t="s">
        <v>182</v>
      </c>
      <c r="D35" s="12" t="s">
        <v>1382</v>
      </c>
      <c r="E35" s="12" t="s">
        <v>1367</v>
      </c>
      <c r="F35" s="12" t="s">
        <v>1368</v>
      </c>
    </row>
    <row r="36" spans="1:6" s="11" customFormat="1" ht="21.95" customHeight="1">
      <c r="A36" s="12" t="s">
        <v>1365</v>
      </c>
      <c r="B36" s="12" t="s">
        <v>188</v>
      </c>
      <c r="C36" s="12" t="s">
        <v>189</v>
      </c>
      <c r="D36" s="12" t="s">
        <v>1383</v>
      </c>
      <c r="E36" s="12" t="s">
        <v>1367</v>
      </c>
      <c r="F36" s="12" t="s">
        <v>1368</v>
      </c>
    </row>
    <row r="37" spans="1:6" s="11" customFormat="1" ht="21.95" customHeight="1">
      <c r="A37" s="12" t="s">
        <v>1365</v>
      </c>
      <c r="B37" s="12" t="s">
        <v>194</v>
      </c>
      <c r="C37" s="12" t="s">
        <v>195</v>
      </c>
      <c r="D37" s="12" t="s">
        <v>1384</v>
      </c>
      <c r="E37" s="12" t="s">
        <v>1367</v>
      </c>
      <c r="F37" s="12" t="s">
        <v>1368</v>
      </c>
    </row>
    <row r="38" spans="1:6" s="11" customFormat="1" ht="21.95" customHeight="1">
      <c r="A38" s="12" t="s">
        <v>1365</v>
      </c>
      <c r="B38" s="12" t="s">
        <v>200</v>
      </c>
      <c r="C38" s="12" t="s">
        <v>201</v>
      </c>
      <c r="D38" s="12" t="s">
        <v>1385</v>
      </c>
      <c r="E38" s="12" t="s">
        <v>1367</v>
      </c>
      <c r="F38" s="12" t="s">
        <v>1368</v>
      </c>
    </row>
    <row r="39" spans="1:6" s="11" customFormat="1" ht="21.95" customHeight="1">
      <c r="A39" s="12" t="s">
        <v>1365</v>
      </c>
      <c r="B39" s="12" t="s">
        <v>206</v>
      </c>
      <c r="C39" s="12" t="s">
        <v>207</v>
      </c>
      <c r="D39" s="12" t="s">
        <v>1386</v>
      </c>
      <c r="E39" s="12" t="s">
        <v>1367</v>
      </c>
      <c r="F39" s="12" t="s">
        <v>1368</v>
      </c>
    </row>
    <row r="40" spans="1:6" s="11" customFormat="1" ht="21.95" customHeight="1">
      <c r="A40" s="12" t="s">
        <v>1365</v>
      </c>
      <c r="B40" s="12" t="s">
        <v>213</v>
      </c>
      <c r="C40" s="12" t="s">
        <v>214</v>
      </c>
      <c r="D40" s="12" t="s">
        <v>1387</v>
      </c>
      <c r="E40" s="12" t="s">
        <v>1367</v>
      </c>
      <c r="F40" s="12" t="s">
        <v>1368</v>
      </c>
    </row>
    <row r="41" spans="1:6" s="11" customFormat="1" ht="21.95" customHeight="1">
      <c r="A41" s="12" t="s">
        <v>1365</v>
      </c>
      <c r="B41" s="12" t="s">
        <v>219</v>
      </c>
      <c r="C41" s="12" t="s">
        <v>220</v>
      </c>
      <c r="D41" s="12" t="s">
        <v>1388</v>
      </c>
      <c r="E41" s="12" t="s">
        <v>1367</v>
      </c>
      <c r="F41" s="12" t="s">
        <v>1368</v>
      </c>
    </row>
    <row r="42" spans="1:6" s="11" customFormat="1" ht="21.95" customHeight="1">
      <c r="A42" s="12" t="s">
        <v>1365</v>
      </c>
      <c r="B42" s="12" t="s">
        <v>226</v>
      </c>
      <c r="C42" s="12" t="s">
        <v>227</v>
      </c>
      <c r="D42" s="12" t="s">
        <v>1389</v>
      </c>
      <c r="E42" s="12" t="s">
        <v>1367</v>
      </c>
      <c r="F42" s="12" t="s">
        <v>1368</v>
      </c>
    </row>
    <row r="43" spans="1:6" s="11" customFormat="1" ht="21.95" customHeight="1">
      <c r="A43" s="12" t="s">
        <v>1365</v>
      </c>
      <c r="B43" s="12" t="s">
        <v>232</v>
      </c>
      <c r="C43" s="12" t="s">
        <v>233</v>
      </c>
      <c r="D43" s="12" t="s">
        <v>1390</v>
      </c>
      <c r="E43" s="12" t="s">
        <v>1367</v>
      </c>
      <c r="F43" s="12" t="s">
        <v>1368</v>
      </c>
    </row>
    <row r="44" spans="1:6" s="11" customFormat="1" ht="21.95" customHeight="1">
      <c r="A44" s="12" t="s">
        <v>1365</v>
      </c>
      <c r="B44" s="12" t="s">
        <v>239</v>
      </c>
      <c r="C44" s="12" t="s">
        <v>240</v>
      </c>
      <c r="D44" s="12" t="s">
        <v>1391</v>
      </c>
      <c r="E44" s="12" t="s">
        <v>1367</v>
      </c>
      <c r="F44" s="12" t="s">
        <v>1368</v>
      </c>
    </row>
    <row r="45" spans="1:6" s="11" customFormat="1" ht="21.95" customHeight="1">
      <c r="A45" s="12" t="s">
        <v>1365</v>
      </c>
      <c r="B45" s="12" t="s">
        <v>245</v>
      </c>
      <c r="C45" s="12" t="s">
        <v>246</v>
      </c>
      <c r="D45" s="12" t="s">
        <v>1392</v>
      </c>
      <c r="E45" s="12" t="s">
        <v>1367</v>
      </c>
      <c r="F45" s="12" t="s">
        <v>1368</v>
      </c>
    </row>
    <row r="46" spans="1:6" s="11" customFormat="1" ht="21.95" customHeight="1">
      <c r="A46" s="12" t="s">
        <v>1365</v>
      </c>
      <c r="B46" s="12" t="s">
        <v>252</v>
      </c>
      <c r="C46" s="12" t="s">
        <v>253</v>
      </c>
      <c r="D46" s="12" t="s">
        <v>1393</v>
      </c>
      <c r="E46" s="12" t="s">
        <v>1367</v>
      </c>
      <c r="F46" s="12" t="s">
        <v>1368</v>
      </c>
    </row>
    <row r="47" spans="1:6" s="11" customFormat="1" ht="21.95" customHeight="1">
      <c r="A47" s="12" t="s">
        <v>1365</v>
      </c>
      <c r="B47" s="12" t="s">
        <v>259</v>
      </c>
      <c r="C47" s="12" t="s">
        <v>260</v>
      </c>
      <c r="D47" s="12" t="s">
        <v>1394</v>
      </c>
      <c r="E47" s="12" t="s">
        <v>1367</v>
      </c>
      <c r="F47" s="12" t="s">
        <v>1368</v>
      </c>
    </row>
    <row r="48" spans="1:6" s="11" customFormat="1" ht="21.95" customHeight="1">
      <c r="A48" s="12" t="s">
        <v>1365</v>
      </c>
      <c r="B48" s="12" t="s">
        <v>265</v>
      </c>
      <c r="C48" s="12" t="s">
        <v>266</v>
      </c>
      <c r="D48" s="12" t="s">
        <v>1395</v>
      </c>
      <c r="E48" s="12" t="s">
        <v>1367</v>
      </c>
      <c r="F48" s="12" t="s">
        <v>1368</v>
      </c>
    </row>
    <row r="49" spans="1:6" s="11" customFormat="1" ht="21.95" customHeight="1">
      <c r="A49" s="12" t="s">
        <v>1365</v>
      </c>
      <c r="B49" s="12" t="s">
        <v>272</v>
      </c>
      <c r="C49" s="12" t="s">
        <v>273</v>
      </c>
      <c r="D49" s="12" t="s">
        <v>1396</v>
      </c>
      <c r="E49" s="12" t="s">
        <v>1367</v>
      </c>
      <c r="F49" s="12" t="s">
        <v>1368</v>
      </c>
    </row>
    <row r="50" spans="1:6" s="11" customFormat="1" ht="21.95" customHeight="1">
      <c r="A50" s="12" t="s">
        <v>1365</v>
      </c>
      <c r="B50" s="12" t="s">
        <v>279</v>
      </c>
      <c r="C50" s="12" t="s">
        <v>280</v>
      </c>
      <c r="D50" s="12" t="s">
        <v>1397</v>
      </c>
      <c r="E50" s="12" t="s">
        <v>1367</v>
      </c>
      <c r="F50" s="12" t="s">
        <v>1368</v>
      </c>
    </row>
    <row r="51" spans="1:6" s="11" customFormat="1" ht="21.95" customHeight="1">
      <c r="A51" s="12" t="s">
        <v>1365</v>
      </c>
      <c r="B51" s="12" t="s">
        <v>286</v>
      </c>
      <c r="C51" s="12" t="s">
        <v>287</v>
      </c>
      <c r="D51" s="12" t="s">
        <v>1398</v>
      </c>
      <c r="E51" s="12" t="s">
        <v>1367</v>
      </c>
      <c r="F51" s="12" t="s">
        <v>1368</v>
      </c>
    </row>
    <row r="52" spans="1:6" s="11" customFormat="1" ht="21.95" customHeight="1">
      <c r="A52" s="12" t="s">
        <v>1365</v>
      </c>
      <c r="B52" s="12" t="s">
        <v>292</v>
      </c>
      <c r="C52" s="12" t="s">
        <v>293</v>
      </c>
      <c r="D52" s="12" t="s">
        <v>1399</v>
      </c>
      <c r="E52" s="12" t="s">
        <v>1367</v>
      </c>
      <c r="F52" s="12" t="s">
        <v>1368</v>
      </c>
    </row>
    <row r="53" spans="1:6" s="11" customFormat="1" ht="21.95" customHeight="1">
      <c r="A53" s="12" t="s">
        <v>1365</v>
      </c>
      <c r="B53" s="12" t="s">
        <v>298</v>
      </c>
      <c r="C53" s="12" t="s">
        <v>299</v>
      </c>
      <c r="D53" s="12" t="s">
        <v>1400</v>
      </c>
      <c r="E53" s="12" t="s">
        <v>1367</v>
      </c>
      <c r="F53" s="12" t="s">
        <v>1368</v>
      </c>
    </row>
    <row r="54" spans="1:6" s="11" customFormat="1" ht="21.95" customHeight="1">
      <c r="A54" s="12" t="s">
        <v>1365</v>
      </c>
      <c r="B54" s="12" t="s">
        <v>305</v>
      </c>
      <c r="C54" s="12" t="s">
        <v>306</v>
      </c>
      <c r="D54" s="12" t="s">
        <v>1401</v>
      </c>
      <c r="E54" s="12" t="s">
        <v>1367</v>
      </c>
      <c r="F54" s="12" t="s">
        <v>1368</v>
      </c>
    </row>
    <row r="55" spans="1:6" s="11" customFormat="1" ht="21.95" customHeight="1">
      <c r="A55" s="12" t="s">
        <v>1365</v>
      </c>
      <c r="B55" s="12" t="s">
        <v>311</v>
      </c>
      <c r="C55" s="12" t="s">
        <v>312</v>
      </c>
      <c r="D55" s="12" t="s">
        <v>1402</v>
      </c>
      <c r="E55" s="12" t="s">
        <v>1367</v>
      </c>
      <c r="F55" s="12" t="s">
        <v>1368</v>
      </c>
    </row>
    <row r="56" spans="1:6" s="11" customFormat="1" ht="21.95" customHeight="1">
      <c r="A56" s="12" t="s">
        <v>1365</v>
      </c>
      <c r="B56" s="12" t="s">
        <v>317</v>
      </c>
      <c r="C56" s="12" t="s">
        <v>318</v>
      </c>
      <c r="D56" s="12" t="s">
        <v>1403</v>
      </c>
      <c r="E56" s="12" t="s">
        <v>1367</v>
      </c>
      <c r="F56" s="12" t="s">
        <v>1368</v>
      </c>
    </row>
    <row r="57" spans="1:6" s="11" customFormat="1" ht="21.95" customHeight="1">
      <c r="A57" s="12" t="s">
        <v>1365</v>
      </c>
      <c r="B57" s="12" t="s">
        <v>323</v>
      </c>
      <c r="C57" s="12" t="s">
        <v>324</v>
      </c>
      <c r="D57" s="12" t="s">
        <v>1404</v>
      </c>
      <c r="E57" s="12" t="s">
        <v>1367</v>
      </c>
      <c r="F57" s="12" t="s">
        <v>1368</v>
      </c>
    </row>
    <row r="58" spans="1:6" s="11" customFormat="1" ht="21.95" customHeight="1">
      <c r="A58" s="12" t="s">
        <v>1405</v>
      </c>
      <c r="B58" s="12" t="s">
        <v>3</v>
      </c>
      <c r="C58" s="12" t="s">
        <v>340</v>
      </c>
      <c r="D58" s="12" t="s">
        <v>1406</v>
      </c>
      <c r="E58" s="12" t="s">
        <v>1407</v>
      </c>
      <c r="F58" s="12" t="s">
        <v>1408</v>
      </c>
    </row>
    <row r="59" spans="1:6" s="11" customFormat="1" ht="21.95" customHeight="1">
      <c r="A59" s="12" t="s">
        <v>1405</v>
      </c>
      <c r="B59" s="12" t="s">
        <v>351</v>
      </c>
      <c r="C59" s="12" t="s">
        <v>352</v>
      </c>
      <c r="D59" s="12" t="s">
        <v>1409</v>
      </c>
      <c r="E59" s="12" t="s">
        <v>1407</v>
      </c>
      <c r="F59" s="12" t="s">
        <v>1408</v>
      </c>
    </row>
    <row r="60" spans="1:6" s="11" customFormat="1" ht="21.95" customHeight="1">
      <c r="A60" s="12" t="s">
        <v>1405</v>
      </c>
      <c r="B60" s="12" t="s">
        <v>362</v>
      </c>
      <c r="C60" s="12" t="s">
        <v>363</v>
      </c>
      <c r="D60" s="12" t="s">
        <v>1410</v>
      </c>
      <c r="E60" s="12" t="s">
        <v>1407</v>
      </c>
      <c r="F60" s="12" t="s">
        <v>1408</v>
      </c>
    </row>
    <row r="61" spans="1:6" s="11" customFormat="1" ht="21.95" customHeight="1">
      <c r="A61" s="12" t="s">
        <v>1405</v>
      </c>
      <c r="B61" s="12" t="s">
        <v>373</v>
      </c>
      <c r="C61" s="12" t="s">
        <v>374</v>
      </c>
      <c r="D61" s="12" t="s">
        <v>1411</v>
      </c>
      <c r="E61" s="12" t="s">
        <v>1407</v>
      </c>
      <c r="F61" s="12" t="s">
        <v>1408</v>
      </c>
    </row>
    <row r="62" spans="1:6" s="11" customFormat="1" ht="21.95" customHeight="1">
      <c r="A62" s="12" t="s">
        <v>1405</v>
      </c>
      <c r="B62" s="12" t="s">
        <v>384</v>
      </c>
      <c r="C62" s="12" t="s">
        <v>385</v>
      </c>
      <c r="D62" s="12" t="s">
        <v>1412</v>
      </c>
      <c r="E62" s="12" t="s">
        <v>1407</v>
      </c>
      <c r="F62" s="12" t="s">
        <v>1408</v>
      </c>
    </row>
    <row r="63" spans="1:6" s="11" customFormat="1" ht="21.95" customHeight="1">
      <c r="A63" s="12" t="s">
        <v>1405</v>
      </c>
      <c r="B63" s="12" t="s">
        <v>396</v>
      </c>
      <c r="C63" s="12" t="s">
        <v>397</v>
      </c>
      <c r="D63" s="12" t="s">
        <v>1413</v>
      </c>
      <c r="E63" s="12" t="s">
        <v>1407</v>
      </c>
      <c r="F63" s="12" t="s">
        <v>1408</v>
      </c>
    </row>
    <row r="64" spans="1:6" s="11" customFormat="1" ht="21.95" customHeight="1">
      <c r="A64" s="12" t="s">
        <v>1405</v>
      </c>
      <c r="B64" s="12" t="s">
        <v>406</v>
      </c>
      <c r="C64" s="12" t="s">
        <v>407</v>
      </c>
      <c r="D64" s="12" t="s">
        <v>1414</v>
      </c>
      <c r="E64" s="12" t="s">
        <v>1407</v>
      </c>
      <c r="F64" s="12" t="s">
        <v>1408</v>
      </c>
    </row>
    <row r="65" spans="1:6" s="11" customFormat="1" ht="21.95" customHeight="1">
      <c r="A65" s="12" t="s">
        <v>1405</v>
      </c>
      <c r="B65" s="12" t="s">
        <v>416</v>
      </c>
      <c r="C65" s="12" t="s">
        <v>417</v>
      </c>
      <c r="D65" s="12" t="s">
        <v>1415</v>
      </c>
      <c r="E65" s="12" t="s">
        <v>1407</v>
      </c>
      <c r="F65" s="12" t="s">
        <v>1408</v>
      </c>
    </row>
    <row r="66" spans="1:6" s="11" customFormat="1" ht="21.95" customHeight="1">
      <c r="A66" s="12" t="s">
        <v>1405</v>
      </c>
      <c r="B66" s="12" t="s">
        <v>425</v>
      </c>
      <c r="C66" s="12" t="s">
        <v>426</v>
      </c>
      <c r="D66" s="12" t="s">
        <v>1416</v>
      </c>
      <c r="E66" s="12" t="s">
        <v>1407</v>
      </c>
      <c r="F66" s="12" t="s">
        <v>1408</v>
      </c>
    </row>
    <row r="67" spans="1:6" s="11" customFormat="1" ht="21.95" customHeight="1">
      <c r="A67" s="12" t="s">
        <v>1405</v>
      </c>
      <c r="B67" s="12" t="s">
        <v>436</v>
      </c>
      <c r="C67" s="12" t="s">
        <v>437</v>
      </c>
      <c r="D67" s="12" t="s">
        <v>1417</v>
      </c>
      <c r="E67" s="12" t="s">
        <v>1407</v>
      </c>
      <c r="F67" s="12" t="s">
        <v>1408</v>
      </c>
    </row>
    <row r="68" spans="1:6" s="11" customFormat="1" ht="21.95" customHeight="1">
      <c r="A68" s="12" t="s">
        <v>1405</v>
      </c>
      <c r="B68" s="12" t="s">
        <v>447</v>
      </c>
      <c r="C68" s="12" t="s">
        <v>448</v>
      </c>
      <c r="D68" s="12" t="s">
        <v>1418</v>
      </c>
      <c r="E68" s="12" t="s">
        <v>1407</v>
      </c>
      <c r="F68" s="12" t="s">
        <v>1408</v>
      </c>
    </row>
    <row r="69" spans="1:6" s="11" customFormat="1" ht="21.95" customHeight="1">
      <c r="A69" s="12" t="s">
        <v>1405</v>
      </c>
      <c r="B69" s="12" t="s">
        <v>457</v>
      </c>
      <c r="C69" s="12" t="s">
        <v>458</v>
      </c>
      <c r="D69" s="12" t="s">
        <v>1419</v>
      </c>
      <c r="E69" s="12" t="s">
        <v>1407</v>
      </c>
      <c r="F69" s="12" t="s">
        <v>1408</v>
      </c>
    </row>
    <row r="70" spans="1:6" s="11" customFormat="1" ht="21.95" customHeight="1">
      <c r="A70" s="12" t="s">
        <v>1405</v>
      </c>
      <c r="B70" s="12" t="s">
        <v>468</v>
      </c>
      <c r="C70" s="12" t="s">
        <v>469</v>
      </c>
      <c r="D70" s="12" t="s">
        <v>1420</v>
      </c>
      <c r="E70" s="12" t="s">
        <v>1407</v>
      </c>
      <c r="F70" s="12" t="s">
        <v>1408</v>
      </c>
    </row>
    <row r="71" spans="1:6" s="11" customFormat="1" ht="21.95" customHeight="1">
      <c r="A71" s="12" t="s">
        <v>1405</v>
      </c>
      <c r="B71" s="12" t="s">
        <v>478</v>
      </c>
      <c r="C71" s="12" t="s">
        <v>479</v>
      </c>
      <c r="D71" s="12" t="s">
        <v>1421</v>
      </c>
      <c r="E71" s="12" t="s">
        <v>1407</v>
      </c>
      <c r="F71" s="12" t="s">
        <v>1408</v>
      </c>
    </row>
    <row r="72" spans="1:6" s="11" customFormat="1" ht="21.95" customHeight="1">
      <c r="A72" s="12" t="s">
        <v>1405</v>
      </c>
      <c r="B72" s="12" t="s">
        <v>489</v>
      </c>
      <c r="C72" s="12" t="s">
        <v>490</v>
      </c>
      <c r="D72" s="12" t="s">
        <v>1422</v>
      </c>
      <c r="E72" s="12" t="s">
        <v>1407</v>
      </c>
      <c r="F72" s="12" t="s">
        <v>1408</v>
      </c>
    </row>
    <row r="73" spans="1:6" s="11" customFormat="1" ht="21.95" customHeight="1">
      <c r="A73" s="12" t="s">
        <v>1405</v>
      </c>
      <c r="B73" s="12" t="s">
        <v>499</v>
      </c>
      <c r="C73" s="12" t="s">
        <v>500</v>
      </c>
      <c r="D73" s="12" t="s">
        <v>1423</v>
      </c>
      <c r="E73" s="12" t="s">
        <v>1407</v>
      </c>
      <c r="F73" s="12" t="s">
        <v>1408</v>
      </c>
    </row>
    <row r="74" spans="1:6" s="11" customFormat="1" ht="21.95" customHeight="1">
      <c r="A74" s="12" t="s">
        <v>1405</v>
      </c>
      <c r="B74" s="12" t="s">
        <v>511</v>
      </c>
      <c r="C74" s="12" t="s">
        <v>512</v>
      </c>
      <c r="D74" s="12" t="s">
        <v>1424</v>
      </c>
      <c r="E74" s="12" t="s">
        <v>1407</v>
      </c>
      <c r="F74" s="12" t="s">
        <v>1408</v>
      </c>
    </row>
    <row r="75" spans="1:6" s="11" customFormat="1" ht="21.95" customHeight="1">
      <c r="A75" s="12" t="s">
        <v>1405</v>
      </c>
      <c r="B75" s="12" t="s">
        <v>520</v>
      </c>
      <c r="C75" s="12" t="s">
        <v>521</v>
      </c>
      <c r="D75" s="12" t="s">
        <v>1425</v>
      </c>
      <c r="E75" s="12" t="s">
        <v>1407</v>
      </c>
      <c r="F75" s="12" t="s">
        <v>1408</v>
      </c>
    </row>
    <row r="76" spans="1:6" s="11" customFormat="1" ht="21.95" customHeight="1">
      <c r="A76" s="12" t="s">
        <v>1405</v>
      </c>
      <c r="B76" s="12" t="s">
        <v>531</v>
      </c>
      <c r="C76" s="12" t="s">
        <v>532</v>
      </c>
      <c r="D76" s="12" t="s">
        <v>1426</v>
      </c>
      <c r="E76" s="12" t="s">
        <v>1407</v>
      </c>
      <c r="F76" s="12" t="s">
        <v>1408</v>
      </c>
    </row>
    <row r="77" spans="1:6" s="11" customFormat="1" ht="21.95" customHeight="1">
      <c r="A77" s="12" t="s">
        <v>1405</v>
      </c>
      <c r="B77" s="12" t="s">
        <v>541</v>
      </c>
      <c r="C77" s="12" t="s">
        <v>542</v>
      </c>
      <c r="D77" s="12" t="s">
        <v>1427</v>
      </c>
      <c r="E77" s="12" t="s">
        <v>1407</v>
      </c>
      <c r="F77" s="12" t="s">
        <v>1408</v>
      </c>
    </row>
    <row r="78" spans="1:6" s="11" customFormat="1" ht="21.95" customHeight="1">
      <c r="A78" s="12" t="s">
        <v>1405</v>
      </c>
      <c r="B78" s="12" t="s">
        <v>552</v>
      </c>
      <c r="C78" s="12" t="s">
        <v>553</v>
      </c>
      <c r="D78" s="12" t="s">
        <v>1428</v>
      </c>
      <c r="E78" s="12" t="s">
        <v>1407</v>
      </c>
      <c r="F78" s="12" t="s">
        <v>1408</v>
      </c>
    </row>
    <row r="79" spans="1:6" s="11" customFormat="1" ht="21.95" customHeight="1">
      <c r="A79" s="12" t="s">
        <v>1405</v>
      </c>
      <c r="B79" s="12" t="s">
        <v>563</v>
      </c>
      <c r="C79" s="12" t="s">
        <v>564</v>
      </c>
      <c r="D79" s="12" t="s">
        <v>1429</v>
      </c>
      <c r="E79" s="12" t="s">
        <v>1407</v>
      </c>
      <c r="F79" s="12" t="s">
        <v>1408</v>
      </c>
    </row>
    <row r="80" spans="1:6" s="11" customFormat="1" ht="21.95" customHeight="1">
      <c r="A80" s="12" t="s">
        <v>1405</v>
      </c>
      <c r="B80" s="12" t="s">
        <v>573</v>
      </c>
      <c r="C80" s="12" t="s">
        <v>574</v>
      </c>
      <c r="D80" s="12" t="s">
        <v>1430</v>
      </c>
      <c r="E80" s="12" t="s">
        <v>1407</v>
      </c>
      <c r="F80" s="12" t="s">
        <v>1408</v>
      </c>
    </row>
    <row r="81" spans="1:6" s="11" customFormat="1" ht="21.95" customHeight="1">
      <c r="A81" s="12" t="s">
        <v>1405</v>
      </c>
      <c r="B81" s="12" t="s">
        <v>583</v>
      </c>
      <c r="C81" s="12" t="s">
        <v>584</v>
      </c>
      <c r="D81" s="12" t="s">
        <v>1431</v>
      </c>
      <c r="E81" s="12" t="s">
        <v>1407</v>
      </c>
      <c r="F81" s="12" t="s">
        <v>1408</v>
      </c>
    </row>
    <row r="82" spans="1:6" s="11" customFormat="1" ht="21.95" customHeight="1">
      <c r="A82" s="12" t="s">
        <v>1405</v>
      </c>
      <c r="B82" s="12" t="s">
        <v>594</v>
      </c>
      <c r="C82" s="12" t="s">
        <v>595</v>
      </c>
      <c r="D82" s="12" t="s">
        <v>1432</v>
      </c>
      <c r="E82" s="12" t="s">
        <v>1407</v>
      </c>
      <c r="F82" s="12" t="s">
        <v>1408</v>
      </c>
    </row>
    <row r="83" spans="1:6" s="11" customFormat="1" ht="21.95" customHeight="1">
      <c r="A83" s="12" t="s">
        <v>1405</v>
      </c>
      <c r="B83" s="12" t="s">
        <v>605</v>
      </c>
      <c r="C83" s="12" t="s">
        <v>606</v>
      </c>
      <c r="D83" s="12" t="s">
        <v>1433</v>
      </c>
      <c r="E83" s="12" t="s">
        <v>1407</v>
      </c>
      <c r="F83" s="12" t="s">
        <v>1408</v>
      </c>
    </row>
    <row r="84" spans="1:6" s="11" customFormat="1" ht="21.95" customHeight="1">
      <c r="A84" s="12" t="s">
        <v>1405</v>
      </c>
      <c r="B84" s="12" t="s">
        <v>615</v>
      </c>
      <c r="C84" s="12" t="s">
        <v>616</v>
      </c>
      <c r="D84" s="12" t="s">
        <v>1434</v>
      </c>
      <c r="E84" s="12" t="s">
        <v>1407</v>
      </c>
      <c r="F84" s="12" t="s">
        <v>1408</v>
      </c>
    </row>
    <row r="85" spans="1:6" s="11" customFormat="1" ht="21.95" customHeight="1">
      <c r="A85" s="12" t="s">
        <v>1405</v>
      </c>
      <c r="B85" s="12" t="s">
        <v>624</v>
      </c>
      <c r="C85" s="12" t="s">
        <v>625</v>
      </c>
      <c r="D85" s="12" t="s">
        <v>1435</v>
      </c>
      <c r="E85" s="12" t="s">
        <v>1407</v>
      </c>
      <c r="F85" s="12" t="s">
        <v>1408</v>
      </c>
    </row>
    <row r="86" spans="1:6" s="11" customFormat="1" ht="21.95" customHeight="1">
      <c r="A86" s="12" t="s">
        <v>1405</v>
      </c>
      <c r="B86" s="12" t="s">
        <v>635</v>
      </c>
      <c r="C86" s="12" t="s">
        <v>636</v>
      </c>
      <c r="D86" s="12" t="s">
        <v>1436</v>
      </c>
      <c r="E86" s="12" t="s">
        <v>1407</v>
      </c>
      <c r="F86" s="12" t="s">
        <v>1408</v>
      </c>
    </row>
    <row r="87" spans="1:6" s="11" customFormat="1" ht="21.95" customHeight="1">
      <c r="A87" s="12" t="s">
        <v>1405</v>
      </c>
      <c r="B87" s="12" t="s">
        <v>647</v>
      </c>
      <c r="C87" s="12" t="s">
        <v>648</v>
      </c>
      <c r="D87" s="12" t="s">
        <v>1437</v>
      </c>
      <c r="E87" s="12" t="s">
        <v>1407</v>
      </c>
      <c r="F87" s="12" t="s">
        <v>1408</v>
      </c>
    </row>
    <row r="88" spans="1:6" s="11" customFormat="1" ht="21.95" customHeight="1">
      <c r="A88" s="12" t="s">
        <v>1405</v>
      </c>
      <c r="B88" s="12" t="s">
        <v>657</v>
      </c>
      <c r="C88" s="12" t="s">
        <v>658</v>
      </c>
      <c r="D88" s="12" t="s">
        <v>1438</v>
      </c>
      <c r="E88" s="12" t="s">
        <v>1407</v>
      </c>
      <c r="F88" s="12" t="s">
        <v>1408</v>
      </c>
    </row>
    <row r="89" spans="1:6" s="11" customFormat="1" ht="21.95" customHeight="1">
      <c r="A89" s="12" t="s">
        <v>1405</v>
      </c>
      <c r="B89" s="12" t="s">
        <v>669</v>
      </c>
      <c r="C89" s="12" t="s">
        <v>670</v>
      </c>
      <c r="D89" s="12" t="s">
        <v>1439</v>
      </c>
      <c r="E89" s="12" t="s">
        <v>1407</v>
      </c>
      <c r="F89" s="12" t="s">
        <v>1408</v>
      </c>
    </row>
    <row r="90" spans="1:6" s="11" customFormat="1" ht="21.95" customHeight="1">
      <c r="A90" s="12" t="s">
        <v>1405</v>
      </c>
      <c r="B90" s="12" t="s">
        <v>679</v>
      </c>
      <c r="C90" s="12" t="s">
        <v>680</v>
      </c>
      <c r="D90" s="12" t="s">
        <v>1440</v>
      </c>
      <c r="E90" s="12" t="s">
        <v>1407</v>
      </c>
      <c r="F90" s="12" t="s">
        <v>1408</v>
      </c>
    </row>
    <row r="91" spans="1:6" s="11" customFormat="1" ht="21.95" customHeight="1">
      <c r="A91" s="12" t="s">
        <v>1405</v>
      </c>
      <c r="B91" s="12" t="s">
        <v>690</v>
      </c>
      <c r="C91" s="12" t="s">
        <v>691</v>
      </c>
      <c r="D91" s="12" t="s">
        <v>1441</v>
      </c>
      <c r="E91" s="12" t="s">
        <v>1407</v>
      </c>
      <c r="F91" s="12" t="s">
        <v>1408</v>
      </c>
    </row>
    <row r="92" spans="1:6" s="11" customFormat="1" ht="21.95" customHeight="1">
      <c r="A92" s="12" t="s">
        <v>1405</v>
      </c>
      <c r="B92" s="12" t="s">
        <v>699</v>
      </c>
      <c r="C92" s="12" t="s">
        <v>700</v>
      </c>
      <c r="D92" s="12" t="s">
        <v>1442</v>
      </c>
      <c r="E92" s="12" t="s">
        <v>1407</v>
      </c>
      <c r="F92" s="12" t="s">
        <v>1408</v>
      </c>
    </row>
    <row r="93" spans="1:6" s="11" customFormat="1" ht="21.95" customHeight="1">
      <c r="A93" s="12" t="s">
        <v>1405</v>
      </c>
      <c r="B93" s="12" t="s">
        <v>711</v>
      </c>
      <c r="C93" s="12" t="s">
        <v>712</v>
      </c>
      <c r="D93" s="12" t="s">
        <v>1443</v>
      </c>
      <c r="E93" s="12" t="s">
        <v>1407</v>
      </c>
      <c r="F93" s="12" t="s">
        <v>1408</v>
      </c>
    </row>
    <row r="94" spans="1:6" s="11" customFormat="1" ht="21.95" customHeight="1">
      <c r="A94" s="12" t="s">
        <v>1405</v>
      </c>
      <c r="B94" s="12" t="s">
        <v>723</v>
      </c>
      <c r="C94" s="12" t="s">
        <v>724</v>
      </c>
      <c r="D94" s="12" t="s">
        <v>1444</v>
      </c>
      <c r="E94" s="12" t="s">
        <v>1407</v>
      </c>
      <c r="F94" s="12" t="s">
        <v>1408</v>
      </c>
    </row>
    <row r="95" spans="1:6" s="11" customFormat="1" ht="21.95" customHeight="1">
      <c r="A95" s="12" t="s">
        <v>1405</v>
      </c>
      <c r="B95" s="12" t="s">
        <v>733</v>
      </c>
      <c r="C95" s="12" t="s">
        <v>734</v>
      </c>
      <c r="D95" s="12" t="s">
        <v>1445</v>
      </c>
      <c r="E95" s="12" t="s">
        <v>1407</v>
      </c>
      <c r="F95" s="12" t="s">
        <v>1408</v>
      </c>
    </row>
    <row r="96" spans="1:6" s="11" customFormat="1" ht="21.95" customHeight="1">
      <c r="A96" s="12" t="s">
        <v>1405</v>
      </c>
      <c r="B96" s="12" t="s">
        <v>742</v>
      </c>
      <c r="C96" s="12" t="s">
        <v>743</v>
      </c>
      <c r="D96" s="12" t="s">
        <v>1446</v>
      </c>
      <c r="E96" s="12" t="s">
        <v>1407</v>
      </c>
      <c r="F96" s="12" t="s">
        <v>1408</v>
      </c>
    </row>
    <row r="97" spans="1:6" s="11" customFormat="1" ht="21.95" customHeight="1">
      <c r="A97" s="12" t="s">
        <v>1405</v>
      </c>
      <c r="B97" s="12" t="s">
        <v>753</v>
      </c>
      <c r="C97" s="12" t="s">
        <v>754</v>
      </c>
      <c r="D97" s="12" t="s">
        <v>1447</v>
      </c>
      <c r="E97" s="12" t="s">
        <v>1407</v>
      </c>
      <c r="F97" s="12" t="s">
        <v>1408</v>
      </c>
    </row>
    <row r="98" spans="1:6" s="11" customFormat="1" ht="21.95" customHeight="1">
      <c r="A98" s="12" t="s">
        <v>1405</v>
      </c>
      <c r="B98" s="12" t="s">
        <v>762</v>
      </c>
      <c r="C98" s="12" t="s">
        <v>763</v>
      </c>
      <c r="D98" s="12" t="s">
        <v>1448</v>
      </c>
      <c r="E98" s="12" t="s">
        <v>1407</v>
      </c>
      <c r="F98" s="12" t="s">
        <v>1408</v>
      </c>
    </row>
    <row r="99" spans="1:6" s="11" customFormat="1" ht="21.95" customHeight="1">
      <c r="A99" s="12" t="s">
        <v>1449</v>
      </c>
      <c r="B99" s="12" t="s">
        <v>8</v>
      </c>
      <c r="C99" s="12" t="s">
        <v>1272</v>
      </c>
      <c r="D99" s="12" t="s">
        <v>1272</v>
      </c>
      <c r="E99" s="12" t="s">
        <v>1450</v>
      </c>
      <c r="F99" s="12" t="s">
        <v>1451</v>
      </c>
    </row>
    <row r="100" spans="1:6" s="11" customFormat="1" ht="21.95" customHeight="1">
      <c r="A100" s="12" t="s">
        <v>1449</v>
      </c>
      <c r="B100" s="12" t="s">
        <v>1279</v>
      </c>
      <c r="C100" s="12" t="s">
        <v>1280</v>
      </c>
      <c r="D100" s="12" t="s">
        <v>1280</v>
      </c>
      <c r="E100" s="12" t="s">
        <v>1450</v>
      </c>
      <c r="F100" s="12" t="s">
        <v>1451</v>
      </c>
    </row>
    <row r="101" spans="1:6" s="11" customFormat="1" ht="21.95" customHeight="1">
      <c r="A101" s="12" t="s">
        <v>1449</v>
      </c>
      <c r="B101" s="12" t="s">
        <v>1287</v>
      </c>
      <c r="C101" s="12" t="s">
        <v>1288</v>
      </c>
      <c r="D101" s="12" t="s">
        <v>1288</v>
      </c>
      <c r="E101" s="12" t="s">
        <v>1450</v>
      </c>
      <c r="F101" s="12" t="s">
        <v>1451</v>
      </c>
    </row>
    <row r="102" spans="1:6" s="11" customFormat="1" ht="21.95" customHeight="1">
      <c r="A102" s="12" t="s">
        <v>1449</v>
      </c>
      <c r="B102" s="12" t="s">
        <v>1295</v>
      </c>
      <c r="C102" s="12" t="s">
        <v>1296</v>
      </c>
      <c r="D102" s="12" t="s">
        <v>1296</v>
      </c>
      <c r="E102" s="12" t="s">
        <v>1450</v>
      </c>
      <c r="F102" s="12" t="s">
        <v>1451</v>
      </c>
    </row>
    <row r="103" spans="1:6" s="11" customFormat="1" ht="21.95" customHeight="1">
      <c r="A103" s="12" t="s">
        <v>1449</v>
      </c>
      <c r="B103" s="12" t="s">
        <v>1303</v>
      </c>
      <c r="C103" s="12" t="s">
        <v>1304</v>
      </c>
      <c r="D103" s="12" t="s">
        <v>1304</v>
      </c>
      <c r="E103" s="12" t="s">
        <v>1450</v>
      </c>
      <c r="F103" s="12" t="s">
        <v>1451</v>
      </c>
    </row>
    <row r="104" spans="1:6" s="11" customFormat="1" ht="21.95" customHeight="1">
      <c r="A104" s="12" t="s">
        <v>1449</v>
      </c>
      <c r="B104" s="12" t="s">
        <v>1311</v>
      </c>
      <c r="C104" s="12" t="s">
        <v>1312</v>
      </c>
      <c r="D104" s="12" t="s">
        <v>1312</v>
      </c>
      <c r="E104" s="12" t="s">
        <v>1450</v>
      </c>
      <c r="F104" s="12" t="s">
        <v>1451</v>
      </c>
    </row>
    <row r="105" spans="1:6" s="11" customFormat="1" ht="21.95" customHeight="1">
      <c r="A105" s="12" t="s">
        <v>1449</v>
      </c>
      <c r="B105" s="12" t="s">
        <v>1319</v>
      </c>
      <c r="C105" s="12" t="s">
        <v>1320</v>
      </c>
      <c r="D105" s="12" t="s">
        <v>1320</v>
      </c>
      <c r="E105" s="12" t="s">
        <v>1450</v>
      </c>
      <c r="F105" s="12" t="s">
        <v>1451</v>
      </c>
    </row>
    <row r="106" spans="1:6" s="11" customFormat="1" ht="21.95" customHeight="1">
      <c r="A106" s="12" t="s">
        <v>1449</v>
      </c>
      <c r="B106" s="12" t="s">
        <v>1326</v>
      </c>
      <c r="C106" s="12" t="s">
        <v>1327</v>
      </c>
      <c r="D106" s="12" t="s">
        <v>1327</v>
      </c>
      <c r="E106" s="12" t="s">
        <v>1450</v>
      </c>
      <c r="F106" s="12" t="s">
        <v>1451</v>
      </c>
    </row>
    <row r="107" spans="1:6" s="11" customFormat="1" ht="21.95" customHeight="1">
      <c r="A107" s="13" t="s">
        <v>1449</v>
      </c>
      <c r="B107" s="13" t="s">
        <v>1334</v>
      </c>
      <c r="C107" s="13" t="s">
        <v>1335</v>
      </c>
      <c r="D107" s="13" t="s">
        <v>1335</v>
      </c>
      <c r="E107" s="13" t="s">
        <v>1450</v>
      </c>
      <c r="F107" s="13" t="s">
        <v>1451</v>
      </c>
    </row>
  </sheetData>
  <mergeCells count="2">
    <mergeCell ref="A1:F1"/>
    <mergeCell ref="A2:F2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4"/>
  <sheetViews>
    <sheetView showGridLines="0" zoomScale="70" zoomScaleNormal="70" workbookViewId="0">
      <selection activeCell="F37" sqref="F37"/>
    </sheetView>
  </sheetViews>
  <sheetFormatPr defaultRowHeight="14.25"/>
  <cols>
    <col min="1" max="1" width="28" customWidth="1"/>
    <col min="2" max="2" width="38" customWidth="1"/>
    <col min="3" max="3" width="28" customWidth="1"/>
    <col min="4" max="4" width="118" customWidth="1"/>
    <col min="5" max="5" width="18" customWidth="1"/>
    <col min="6" max="6" width="70" customWidth="1"/>
  </cols>
  <sheetData>
    <row r="1" spans="1:6" ht="30" customHeight="1">
      <c r="A1" s="15" t="s">
        <v>1452</v>
      </c>
      <c r="B1" s="15"/>
      <c r="C1" s="15"/>
      <c r="D1" s="15"/>
      <c r="E1" s="15"/>
      <c r="F1" s="15"/>
    </row>
    <row r="2" spans="1:6" ht="39.950000000000003" customHeight="1">
      <c r="A2" s="16" t="s">
        <v>1524</v>
      </c>
      <c r="B2" s="17"/>
      <c r="C2" s="17"/>
      <c r="D2" s="17"/>
      <c r="E2" s="17"/>
      <c r="F2" s="17"/>
    </row>
    <row r="3" spans="1:6">
      <c r="A3" s="1"/>
      <c r="B3" s="1"/>
      <c r="C3" s="1"/>
      <c r="D3" s="1"/>
      <c r="E3" s="1"/>
      <c r="F3" s="1"/>
    </row>
    <row r="4" spans="1:6" ht="36" customHeight="1">
      <c r="A4" s="2" t="s">
        <v>1453</v>
      </c>
      <c r="B4" s="5" t="s">
        <v>1454</v>
      </c>
      <c r="C4" s="5" t="s">
        <v>1455</v>
      </c>
      <c r="D4" s="5" t="s">
        <v>1456</v>
      </c>
      <c r="E4" s="5" t="s">
        <v>1026</v>
      </c>
      <c r="F4" s="5" t="s">
        <v>1457</v>
      </c>
    </row>
    <row r="5" spans="1:6" s="11" customFormat="1" ht="21.95" customHeight="1">
      <c r="A5" s="10" t="s">
        <v>1458</v>
      </c>
      <c r="B5" s="10" t="s">
        <v>1459</v>
      </c>
      <c r="C5" s="10" t="s">
        <v>1460</v>
      </c>
      <c r="D5" s="10" t="s">
        <v>9</v>
      </c>
      <c r="E5" s="10" t="s">
        <v>1461</v>
      </c>
      <c r="F5" s="10" t="s">
        <v>1462</v>
      </c>
    </row>
    <row r="6" spans="1:6" s="11" customFormat="1" ht="21.95" customHeight="1">
      <c r="A6" s="12" t="s">
        <v>1458</v>
      </c>
      <c r="B6" s="12" t="s">
        <v>1450</v>
      </c>
      <c r="C6" s="12" t="s">
        <v>1460</v>
      </c>
      <c r="D6" s="12" t="s">
        <v>7</v>
      </c>
      <c r="E6" s="12" t="s">
        <v>1461</v>
      </c>
      <c r="F6" s="12" t="s">
        <v>1463</v>
      </c>
    </row>
    <row r="7" spans="1:6" s="11" customFormat="1" ht="21.95" customHeight="1">
      <c r="A7" s="12" t="s">
        <v>1458</v>
      </c>
      <c r="B7" s="12" t="s">
        <v>1464</v>
      </c>
      <c r="C7" s="12" t="s">
        <v>1465</v>
      </c>
      <c r="D7" s="12" t="s">
        <v>1466</v>
      </c>
      <c r="E7" s="12" t="s">
        <v>1467</v>
      </c>
      <c r="F7" s="12" t="s">
        <v>1468</v>
      </c>
    </row>
    <row r="8" spans="1:6" s="11" customFormat="1" ht="21.95" customHeight="1">
      <c r="A8" s="12" t="s">
        <v>1458</v>
      </c>
      <c r="B8" s="12" t="s">
        <v>1469</v>
      </c>
      <c r="C8" s="12" t="s">
        <v>1460</v>
      </c>
      <c r="D8" s="12" t="s">
        <v>1470</v>
      </c>
      <c r="E8" s="12" t="s">
        <v>1461</v>
      </c>
      <c r="F8" s="12" t="s">
        <v>1471</v>
      </c>
    </row>
    <row r="9" spans="1:6" s="11" customFormat="1" ht="21.95" customHeight="1">
      <c r="A9" s="12" t="s">
        <v>1458</v>
      </c>
      <c r="B9" s="12" t="s">
        <v>1472</v>
      </c>
      <c r="C9" s="12" t="s">
        <v>1453</v>
      </c>
      <c r="D9" s="12" t="s">
        <v>1473</v>
      </c>
      <c r="E9" s="12" t="s">
        <v>1461</v>
      </c>
      <c r="F9" s="12" t="s">
        <v>1474</v>
      </c>
    </row>
    <row r="10" spans="1:6" s="11" customFormat="1" ht="21.95" customHeight="1">
      <c r="A10" s="12" t="s">
        <v>1458</v>
      </c>
      <c r="B10" s="12" t="s">
        <v>1475</v>
      </c>
      <c r="C10" s="12" t="s">
        <v>1453</v>
      </c>
      <c r="D10" s="12" t="s">
        <v>1476</v>
      </c>
      <c r="E10" s="12" t="s">
        <v>1461</v>
      </c>
      <c r="F10" s="12" t="s">
        <v>1477</v>
      </c>
    </row>
    <row r="11" spans="1:6" s="11" customFormat="1" ht="21.95" customHeight="1">
      <c r="A11" s="12" t="s">
        <v>1458</v>
      </c>
      <c r="B11" s="12" t="s">
        <v>1478</v>
      </c>
      <c r="C11" s="12" t="s">
        <v>1479</v>
      </c>
      <c r="D11" s="12" t="s">
        <v>1480</v>
      </c>
      <c r="E11" s="12" t="s">
        <v>1461</v>
      </c>
      <c r="F11" s="12" t="s">
        <v>1481</v>
      </c>
    </row>
    <row r="12" spans="1:6" s="11" customFormat="1" ht="21.95" customHeight="1">
      <c r="A12" s="12" t="s">
        <v>1458</v>
      </c>
      <c r="B12" s="12" t="s">
        <v>1482</v>
      </c>
      <c r="C12" s="12" t="s">
        <v>1479</v>
      </c>
      <c r="D12" s="12" t="s">
        <v>1480</v>
      </c>
      <c r="E12" s="12" t="s">
        <v>1461</v>
      </c>
      <c r="F12" s="12" t="s">
        <v>1483</v>
      </c>
    </row>
    <row r="13" spans="1:6" s="11" customFormat="1" ht="21.95" customHeight="1">
      <c r="A13" s="12" t="s">
        <v>1484</v>
      </c>
      <c r="B13" s="12" t="s">
        <v>1263</v>
      </c>
      <c r="C13" s="12" t="s">
        <v>1465</v>
      </c>
      <c r="D13" s="12" t="s">
        <v>1485</v>
      </c>
      <c r="E13" s="12" t="s">
        <v>1461</v>
      </c>
      <c r="F13" s="12" t="s">
        <v>1486</v>
      </c>
    </row>
    <row r="14" spans="1:6" s="11" customFormat="1" ht="21.95" customHeight="1">
      <c r="A14" s="12" t="s">
        <v>1484</v>
      </c>
      <c r="B14" s="12" t="s">
        <v>1367</v>
      </c>
      <c r="C14" s="12" t="s">
        <v>1465</v>
      </c>
      <c r="D14" s="12" t="s">
        <v>1487</v>
      </c>
      <c r="E14" s="12" t="s">
        <v>1461</v>
      </c>
      <c r="F14" s="12" t="s">
        <v>1488</v>
      </c>
    </row>
    <row r="15" spans="1:6" s="11" customFormat="1" ht="21.95" customHeight="1">
      <c r="A15" s="12" t="s">
        <v>1484</v>
      </c>
      <c r="B15" s="12" t="s">
        <v>1489</v>
      </c>
      <c r="C15" s="12" t="s">
        <v>1465</v>
      </c>
      <c r="D15" s="12" t="s">
        <v>10</v>
      </c>
      <c r="E15" s="12" t="s">
        <v>1461</v>
      </c>
      <c r="F15" s="12" t="s">
        <v>1490</v>
      </c>
    </row>
    <row r="16" spans="1:6" s="11" customFormat="1" ht="21.95" customHeight="1">
      <c r="A16" s="12" t="s">
        <v>1484</v>
      </c>
      <c r="B16" s="12" t="s">
        <v>1407</v>
      </c>
      <c r="C16" s="12" t="s">
        <v>1465</v>
      </c>
      <c r="D16" s="12" t="s">
        <v>1491</v>
      </c>
      <c r="E16" s="12" t="s">
        <v>1461</v>
      </c>
      <c r="F16" s="12" t="s">
        <v>1492</v>
      </c>
    </row>
    <row r="17" spans="1:6" s="11" customFormat="1" ht="21.95" customHeight="1">
      <c r="A17" s="12" t="s">
        <v>1484</v>
      </c>
      <c r="B17" s="12" t="s">
        <v>1493</v>
      </c>
      <c r="C17" s="12" t="s">
        <v>1465</v>
      </c>
      <c r="D17" s="12" t="s">
        <v>1494</v>
      </c>
      <c r="E17" s="12" t="s">
        <v>1461</v>
      </c>
      <c r="F17" s="12" t="s">
        <v>1495</v>
      </c>
    </row>
    <row r="18" spans="1:6" s="11" customFormat="1" ht="21.95" customHeight="1">
      <c r="A18" s="12" t="s">
        <v>1496</v>
      </c>
      <c r="B18" s="12" t="s">
        <v>1497</v>
      </c>
      <c r="C18" s="12" t="s">
        <v>1498</v>
      </c>
      <c r="D18" s="12" t="s">
        <v>1499</v>
      </c>
      <c r="E18" s="12" t="s">
        <v>1461</v>
      </c>
      <c r="F18" s="12" t="s">
        <v>1500</v>
      </c>
    </row>
    <row r="19" spans="1:6" s="11" customFormat="1" ht="21.95" customHeight="1">
      <c r="A19" s="12" t="s">
        <v>1496</v>
      </c>
      <c r="B19" s="12" t="s">
        <v>1501</v>
      </c>
      <c r="C19" s="12" t="s">
        <v>1460</v>
      </c>
      <c r="D19" s="12" t="s">
        <v>1502</v>
      </c>
      <c r="E19" s="12" t="s">
        <v>1461</v>
      </c>
      <c r="F19" s="12" t="s">
        <v>1503</v>
      </c>
    </row>
    <row r="20" spans="1:6" s="11" customFormat="1" ht="21.95" customHeight="1">
      <c r="A20" s="12" t="s">
        <v>1496</v>
      </c>
      <c r="B20" s="12" t="s">
        <v>1504</v>
      </c>
      <c r="C20" s="12" t="s">
        <v>1460</v>
      </c>
      <c r="D20" s="12" t="s">
        <v>1505</v>
      </c>
      <c r="E20" s="12" t="s">
        <v>1461</v>
      </c>
      <c r="F20" s="12" t="s">
        <v>1506</v>
      </c>
    </row>
    <row r="21" spans="1:6" s="11" customFormat="1" ht="21.95" customHeight="1">
      <c r="A21" s="12" t="s">
        <v>1507</v>
      </c>
      <c r="B21" s="12" t="s">
        <v>1508</v>
      </c>
      <c r="C21" s="12" t="s">
        <v>1460</v>
      </c>
      <c r="D21" s="12" t="s">
        <v>1509</v>
      </c>
      <c r="E21" s="12" t="s">
        <v>1461</v>
      </c>
      <c r="F21" s="12" t="s">
        <v>1510</v>
      </c>
    </row>
    <row r="22" spans="1:6" s="11" customFormat="1" ht="21.95" customHeight="1">
      <c r="A22" s="12" t="s">
        <v>1507</v>
      </c>
      <c r="B22" s="12" t="s">
        <v>1511</v>
      </c>
      <c r="C22" s="12" t="s">
        <v>1453</v>
      </c>
      <c r="D22" s="12" t="s">
        <v>1512</v>
      </c>
      <c r="E22" s="12" t="s">
        <v>1461</v>
      </c>
      <c r="F22" s="12" t="s">
        <v>1513</v>
      </c>
    </row>
    <row r="23" spans="1:6" s="11" customFormat="1" ht="21.95" customHeight="1">
      <c r="A23" s="12" t="s">
        <v>1507</v>
      </c>
      <c r="B23" s="12" t="s">
        <v>1514</v>
      </c>
      <c r="C23" s="12" t="s">
        <v>1479</v>
      </c>
      <c r="D23" s="12" t="s">
        <v>1515</v>
      </c>
      <c r="E23" s="12" t="s">
        <v>1461</v>
      </c>
      <c r="F23" s="12" t="s">
        <v>1516</v>
      </c>
    </row>
    <row r="24" spans="1:6" ht="76.5">
      <c r="A24" s="4" t="s">
        <v>1517</v>
      </c>
      <c r="B24" s="4" t="s">
        <v>1518</v>
      </c>
      <c r="C24" s="4" t="s">
        <v>1519</v>
      </c>
      <c r="D24" s="4" t="s">
        <v>1520</v>
      </c>
      <c r="E24" s="4" t="s">
        <v>0</v>
      </c>
      <c r="F24" s="4" t="s">
        <v>1521</v>
      </c>
    </row>
  </sheetData>
  <mergeCells count="2">
    <mergeCell ref="A1:F1"/>
    <mergeCell ref="A2:F2"/>
  </mergeCells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01_C_Tactic</vt:lpstr>
      <vt:lpstr>02_C_Technique</vt:lpstr>
      <vt:lpstr>03_C_Procedure</vt:lpstr>
      <vt:lpstr>04_C_TA_TE_매핑</vt:lpstr>
      <vt:lpstr>05_C_TE_PR_매핑</vt:lpstr>
      <vt:lpstr>06_플랫폼의존</vt:lpstr>
      <vt:lpstr>07_행위형프리셋</vt:lpstr>
      <vt:lpstr>08_코드Enum</vt:lpstr>
      <vt:lpstr>09_구현스키마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이지영</cp:lastModifiedBy>
  <dcterms:created xsi:type="dcterms:W3CDTF">2026-08-20T11:30:44Z</dcterms:created>
  <dcterms:modified xsi:type="dcterms:W3CDTF">2026-08-20T11:50:22Z</dcterms:modified>
</cp:coreProperties>
</file>